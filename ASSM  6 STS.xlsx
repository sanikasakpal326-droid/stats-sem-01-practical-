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8d47f1b723811b/Documents/"/>
    </mc:Choice>
  </mc:AlternateContent>
  <xr:revisionPtr revIDLastSave="127" documentId="8_{4A67D149-C048-42A2-9B6B-6A42A3C040C8}" xr6:coauthVersionLast="47" xr6:coauthVersionMax="47" xr10:uidLastSave="{A473A5FC-1FC3-4CCE-B2B9-8E3FF4C61880}"/>
  <bookViews>
    <workbookView minimized="1" xWindow="2800" yWindow="2800" windowWidth="14400" windowHeight="7270" firstSheet="1" activeTab="1" xr2:uid="{0A1987FA-A3E9-47FA-B23A-E4F77BE286A9}"/>
  </bookViews>
  <sheets>
    <sheet name="Sheet1" sheetId="1" r:id="rId1"/>
    <sheet name="Sheet2" sheetId="5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  <c r="B11" i="1"/>
  <c r="B10" i="1"/>
  <c r="H10" i="1"/>
  <c r="H9" i="1"/>
</calcChain>
</file>

<file path=xl/sharedStrings.xml><?xml version="1.0" encoding="utf-8"?>
<sst xmlns="http://schemas.openxmlformats.org/spreadsheetml/2006/main" count="45" uniqueCount="44">
  <si>
    <t>📘 ASSIGNMENT 6</t>
  </si>
  <si>
    <t>Simple Linear Regression and Plots in Excel</t>
  </si>
  <si>
    <t>✅ Q1) Compute Z-scores and check for outliers</t>
  </si>
  <si>
    <t>📊 Data</t>
  </si>
  <si>
    <t>Marks</t>
  </si>
  <si>
    <t>Mean  =</t>
  </si>
  <si>
    <t xml:space="preserve">SD    = </t>
  </si>
  <si>
    <t>Z- score</t>
  </si>
  <si>
    <t>|Z| &gt; 3 → Outlier</t>
  </si>
  <si>
    <t xml:space="preserve">Result/Conclusion  </t>
  </si>
  <si>
    <t>One observation has a Z-score greater than 3, hence it is identified</t>
  </si>
  <si>
    <t>as an outlier in the data.</t>
  </si>
  <si>
    <r>
      <t>Z</t>
    </r>
    <r>
      <rPr>
        <b/>
        <sz val="11"/>
        <color theme="1"/>
        <rFont val="Aptos Narrow"/>
        <family val="2"/>
        <scheme val="minor"/>
      </rPr>
      <t>-scores were computed using mean and population standard deviation.</t>
    </r>
  </si>
  <si>
    <t>Exam Score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</si>
  <si>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</si>
  <si>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</si>
  <si>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</si>
  <si>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</si>
  <si>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</si>
  <si>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</si>
  <si>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</si>
  <si>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</si>
  <si>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</si>
  <si>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</si>
  <si>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</si>
  <si>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</si>
  <si>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</si>
  <si>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</si>
  <si>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</si>
  <si>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</si>
  <si>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</si>
  <si>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</si>
  <si>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</si>
  <si>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</si>
  <si>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</si>
  <si>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</si>
  <si>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</si>
  <si>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</si>
  <si>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</si>
  <si>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</si>
  <si>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Q2) Create a hypothetical data with 30 observations on hours studied in a month and exam scores. Run a simple linear regression using data analysis tool pack in Excel.</t>
  </si>
  <si>
    <t>Q4) Plot the residual and line fit plots based on regression estimates.</t>
  </si>
  <si>
    <t>Hours Studied</t>
  </si>
  <si>
    <t>Predicted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</si>
</sst>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2" borderId="2" xfId="0" applyFill="1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Hours Studied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'[1]A6_Q2&amp;Q4'!$A$6:$A$35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'[1]A6_Q2&amp;Q4'!$F$29:$F$58</c:f>
              <c:numCache>
                <c:formatCode>General</c:formatCode>
                <c:ptCount val="30"/>
                <c:pt idx="0">
                  <c:v>-1.0985221674876584</c:v>
                </c:pt>
                <c:pt idx="1">
                  <c:v>-0.18226600985219221</c:v>
                </c:pt>
                <c:pt idx="2">
                  <c:v>-0.26600985221672602</c:v>
                </c:pt>
                <c:pt idx="3">
                  <c:v>-0.34975369458125982</c:v>
                </c:pt>
                <c:pt idx="4">
                  <c:v>0.56650246305420637</c:v>
                </c:pt>
                <c:pt idx="5">
                  <c:v>1.4827586206896726</c:v>
                </c:pt>
                <c:pt idx="6">
                  <c:v>1.3990147783251388</c:v>
                </c:pt>
                <c:pt idx="7">
                  <c:v>1.315270935960605</c:v>
                </c:pt>
                <c:pt idx="8">
                  <c:v>2.2315270935960712</c:v>
                </c:pt>
                <c:pt idx="9">
                  <c:v>2.1477832512315445</c:v>
                </c:pt>
                <c:pt idx="10">
                  <c:v>2.0640394088670035</c:v>
                </c:pt>
                <c:pt idx="11">
                  <c:v>0.98029556650246263</c:v>
                </c:pt>
                <c:pt idx="12">
                  <c:v>0.89655172413793593</c:v>
                </c:pt>
                <c:pt idx="13">
                  <c:v>0.81280788177340924</c:v>
                </c:pt>
                <c:pt idx="14">
                  <c:v>0.72906403940886833</c:v>
                </c:pt>
                <c:pt idx="15">
                  <c:v>0.64532019704432741</c:v>
                </c:pt>
                <c:pt idx="16">
                  <c:v>0.56157635467980072</c:v>
                </c:pt>
                <c:pt idx="17">
                  <c:v>0.47783251231527402</c:v>
                </c:pt>
                <c:pt idx="18">
                  <c:v>0.39408866995073311</c:v>
                </c:pt>
                <c:pt idx="19">
                  <c:v>0.3103448275861922</c:v>
                </c:pt>
                <c:pt idx="20">
                  <c:v>0.2266009852216655</c:v>
                </c:pt>
                <c:pt idx="21">
                  <c:v>0.1428571428571388</c:v>
                </c:pt>
                <c:pt idx="22">
                  <c:v>-0.94088669950740211</c:v>
                </c:pt>
                <c:pt idx="23">
                  <c:v>-1.024630541871943</c:v>
                </c:pt>
                <c:pt idx="24">
                  <c:v>-1.1083743842364697</c:v>
                </c:pt>
                <c:pt idx="25">
                  <c:v>-2.1921182266009964</c:v>
                </c:pt>
                <c:pt idx="26">
                  <c:v>-2.2758620689655373</c:v>
                </c:pt>
                <c:pt idx="27">
                  <c:v>-1.3377085650722904</c:v>
                </c:pt>
                <c:pt idx="28">
                  <c:v>-2.4527252502780925</c:v>
                </c:pt>
                <c:pt idx="29">
                  <c:v>-2.5677419354838662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C-4CAB-B24F-B9FC95D2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265935"/>
        <c:axId val="759268815"/>
      </c:scatterChart>
      <c:valAx>
        <c:axId val="759265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Hours Studied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9268815"/>
        <c:crosses val="autoZero"/>
        <c:crossBetween val="midCat"/>
      </c:valAx>
      <c:valAx>
        <c:axId val="759268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92659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'[1]A6_Q2&amp;Q4'!$A$6:$A$35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'[1]A6_Q2&amp;Q4'!$B$6:$B$35</c:f>
              <c:numCache>
                <c:formatCode>General</c:formatCode>
                <c:ptCount val="30"/>
                <c:pt idx="0">
                  <c:v>35</c:v>
                </c:pt>
                <c:pt idx="1">
                  <c:v>38</c:v>
                </c:pt>
                <c:pt idx="2">
                  <c:v>40</c:v>
                </c:pt>
                <c:pt idx="3">
                  <c:v>45</c:v>
                </c:pt>
                <c:pt idx="4">
                  <c:v>48</c:v>
                </c:pt>
                <c:pt idx="5">
                  <c:v>50</c:v>
                </c:pt>
                <c:pt idx="6">
                  <c:v>52</c:v>
                </c:pt>
                <c:pt idx="7">
                  <c:v>55</c:v>
                </c:pt>
                <c:pt idx="8">
                  <c:v>58</c:v>
                </c:pt>
                <c:pt idx="9">
                  <c:v>60</c:v>
                </c:pt>
                <c:pt idx="10">
                  <c:v>62</c:v>
                </c:pt>
                <c:pt idx="11">
                  <c:v>65</c:v>
                </c:pt>
                <c:pt idx="12">
                  <c:v>67</c:v>
                </c:pt>
                <c:pt idx="13">
                  <c:v>69</c:v>
                </c:pt>
                <c:pt idx="14">
                  <c:v>70</c:v>
                </c:pt>
                <c:pt idx="15">
                  <c:v>72</c:v>
                </c:pt>
                <c:pt idx="16">
                  <c:v>74</c:v>
                </c:pt>
                <c:pt idx="17">
                  <c:v>76</c:v>
                </c:pt>
                <c:pt idx="18">
                  <c:v>78</c:v>
                </c:pt>
                <c:pt idx="19">
                  <c:v>80</c:v>
                </c:pt>
                <c:pt idx="20">
                  <c:v>82</c:v>
                </c:pt>
                <c:pt idx="21">
                  <c:v>84</c:v>
                </c:pt>
                <c:pt idx="22">
                  <c:v>86</c:v>
                </c:pt>
                <c:pt idx="23">
                  <c:v>88</c:v>
                </c:pt>
                <c:pt idx="24">
                  <c:v>90</c:v>
                </c:pt>
                <c:pt idx="25">
                  <c:v>91</c:v>
                </c:pt>
                <c:pt idx="26">
                  <c:v>93</c:v>
                </c:pt>
                <c:pt idx="27">
                  <c:v>95</c:v>
                </c:pt>
                <c:pt idx="28">
                  <c:v>96</c:v>
                </c:pt>
                <c:pt idx="2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C-4870-9991-15E2C924BA57}"/>
            </c:ext>
          </c:extLst>
        </c:ser>
        <c:ser>
          <c:idx val="1"/>
          <c:order val="1"/>
          <c:spPr>
            <a:ln w="38100">
              <a:noFill/>
            </a:ln>
          </c:spPr>
          <c:xVal>
            <c:numRef>
              <c:f>'[1]A6_Q2&amp;Q4'!$A$6:$A$35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'[1]A6_Q2&amp;Q4'!$E$29:$E$58</c:f>
              <c:numCache>
                <c:formatCode>General</c:formatCode>
                <c:ptCount val="30"/>
                <c:pt idx="0">
                  <c:v>46.098522167487658</c:v>
                </c:pt>
                <c:pt idx="1">
                  <c:v>48.182266009852192</c:v>
                </c:pt>
                <c:pt idx="2">
                  <c:v>50.266009852216726</c:v>
                </c:pt>
                <c:pt idx="3">
                  <c:v>52.34975369458126</c:v>
                </c:pt>
                <c:pt idx="4">
                  <c:v>54.433497536945794</c:v>
                </c:pt>
                <c:pt idx="5">
                  <c:v>56.517241379310327</c:v>
                </c:pt>
                <c:pt idx="6">
                  <c:v>58.600985221674861</c:v>
                </c:pt>
                <c:pt idx="7">
                  <c:v>60.684729064039395</c:v>
                </c:pt>
                <c:pt idx="8">
                  <c:v>62.768472906403929</c:v>
                </c:pt>
                <c:pt idx="9">
                  <c:v>64.852216748768456</c:v>
                </c:pt>
                <c:pt idx="10">
                  <c:v>66.935960591132996</c:v>
                </c:pt>
                <c:pt idx="11">
                  <c:v>69.019704433497537</c:v>
                </c:pt>
                <c:pt idx="12">
                  <c:v>71.103448275862064</c:v>
                </c:pt>
                <c:pt idx="13">
                  <c:v>73.187192118226591</c:v>
                </c:pt>
                <c:pt idx="14">
                  <c:v>75.270935960591132</c:v>
                </c:pt>
                <c:pt idx="15">
                  <c:v>77.354679802955673</c:v>
                </c:pt>
                <c:pt idx="16">
                  <c:v>79.438423645320199</c:v>
                </c:pt>
                <c:pt idx="17">
                  <c:v>81.522167487684726</c:v>
                </c:pt>
                <c:pt idx="18">
                  <c:v>83.605911330049267</c:v>
                </c:pt>
                <c:pt idx="19">
                  <c:v>85.689655172413808</c:v>
                </c:pt>
                <c:pt idx="20">
                  <c:v>87.773399014778335</c:v>
                </c:pt>
                <c:pt idx="21">
                  <c:v>89.857142857142861</c:v>
                </c:pt>
                <c:pt idx="22">
                  <c:v>91.940886699507402</c:v>
                </c:pt>
                <c:pt idx="23">
                  <c:v>94.024630541871943</c:v>
                </c:pt>
                <c:pt idx="24">
                  <c:v>96.10837438423647</c:v>
                </c:pt>
                <c:pt idx="25">
                  <c:v>98.192118226600996</c:v>
                </c:pt>
                <c:pt idx="26">
                  <c:v>100.27586206896554</c:v>
                </c:pt>
                <c:pt idx="27">
                  <c:v>96.33770856507229</c:v>
                </c:pt>
                <c:pt idx="28">
                  <c:v>98.452725250278093</c:v>
                </c:pt>
                <c:pt idx="29">
                  <c:v>100.56774193548387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4C-4870-9991-15E2C924B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603519"/>
        <c:axId val="756610239"/>
      </c:scatterChart>
      <c:valAx>
        <c:axId val="756603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6610239"/>
        <c:crosses val="autoZero"/>
        <c:crossBetween val="midCat"/>
      </c:valAx>
      <c:valAx>
        <c:axId val="756610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566035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  Residual Plot</a:t>
            </a:r>
          </a:p>
        </c:rich>
      </c:tx>
      <c:layout>
        <c:manualLayout>
          <c:xMode val="edge"/>
          <c:yMode val="edge"/>
          <c:x val="0.28538194444444442"/>
          <c:y val="4.095563139931740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'[1]A6_Q2&amp;Q4'!$A$7:$A$35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'[1]A6_Q2&amp;Q4'!$F$27:$F$55</c:f>
              <c:numCache>
                <c:formatCode>General</c:formatCode>
                <c:ptCount val="29"/>
                <c:pt idx="0">
                  <c:v>-3.9310344827585908</c:v>
                </c:pt>
                <c:pt idx="1">
                  <c:v>-4.0147783251231246</c:v>
                </c:pt>
                <c:pt idx="2">
                  <c:v>-1.0985221674876584</c:v>
                </c:pt>
                <c:pt idx="3">
                  <c:v>-0.18226600985219221</c:v>
                </c:pt>
                <c:pt idx="4">
                  <c:v>-0.26600985221672602</c:v>
                </c:pt>
                <c:pt idx="5">
                  <c:v>-0.34975369458125982</c:v>
                </c:pt>
                <c:pt idx="6">
                  <c:v>0.56650246305420637</c:v>
                </c:pt>
                <c:pt idx="7">
                  <c:v>1.4827586206896726</c:v>
                </c:pt>
                <c:pt idx="8">
                  <c:v>1.3990147783251388</c:v>
                </c:pt>
                <c:pt idx="9">
                  <c:v>1.315270935960605</c:v>
                </c:pt>
                <c:pt idx="10">
                  <c:v>2.2315270935960712</c:v>
                </c:pt>
                <c:pt idx="11">
                  <c:v>2.1477832512315445</c:v>
                </c:pt>
                <c:pt idx="12">
                  <c:v>2.0640394088670035</c:v>
                </c:pt>
                <c:pt idx="13">
                  <c:v>0.98029556650246263</c:v>
                </c:pt>
                <c:pt idx="14">
                  <c:v>0.89655172413793593</c:v>
                </c:pt>
                <c:pt idx="15">
                  <c:v>0.81280788177340924</c:v>
                </c:pt>
                <c:pt idx="16">
                  <c:v>0.72906403940886833</c:v>
                </c:pt>
                <c:pt idx="17">
                  <c:v>0.64532019704432741</c:v>
                </c:pt>
                <c:pt idx="18">
                  <c:v>0.56157635467980072</c:v>
                </c:pt>
                <c:pt idx="19">
                  <c:v>0.47783251231527402</c:v>
                </c:pt>
                <c:pt idx="20">
                  <c:v>0.39408866995073311</c:v>
                </c:pt>
                <c:pt idx="21">
                  <c:v>0.3103448275861922</c:v>
                </c:pt>
                <c:pt idx="22">
                  <c:v>0.2266009852216655</c:v>
                </c:pt>
                <c:pt idx="23">
                  <c:v>0.1428571428571388</c:v>
                </c:pt>
                <c:pt idx="24">
                  <c:v>-0.94088669950740211</c:v>
                </c:pt>
                <c:pt idx="25">
                  <c:v>-1.024630541871943</c:v>
                </c:pt>
                <c:pt idx="26">
                  <c:v>-1.1083743842364697</c:v>
                </c:pt>
                <c:pt idx="27">
                  <c:v>-2.1921182266009964</c:v>
                </c:pt>
                <c:pt idx="28">
                  <c:v>-2.2758620689655373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D-43A0-9062-E7A4E0A7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520383"/>
        <c:axId val="662521823"/>
      </c:scatterChart>
      <c:valAx>
        <c:axId val="66252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521823"/>
        <c:crosses val="autoZero"/>
        <c:crossBetween val="midCat"/>
      </c:valAx>
      <c:valAx>
        <c:axId val="662521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5203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 Line Fit  Plot</a:t>
            </a:r>
          </a:p>
        </c:rich>
      </c:tx>
      <c:layout>
        <c:manualLayout>
          <c:xMode val="edge"/>
          <c:yMode val="edge"/>
          <c:x val="0.34711805555555558"/>
          <c:y val="4.109589041095890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'[1]A6_Q2&amp;Q4'!$A$7:$A$35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'[1]A6_Q2&amp;Q4'!$B$7:$B$35</c:f>
              <c:numCache>
                <c:formatCode>General</c:formatCode>
                <c:ptCount val="29"/>
                <c:pt idx="0">
                  <c:v>38</c:v>
                </c:pt>
                <c:pt idx="1">
                  <c:v>40</c:v>
                </c:pt>
                <c:pt idx="2">
                  <c:v>45</c:v>
                </c:pt>
                <c:pt idx="3">
                  <c:v>48</c:v>
                </c:pt>
                <c:pt idx="4">
                  <c:v>50</c:v>
                </c:pt>
                <c:pt idx="5">
                  <c:v>52</c:v>
                </c:pt>
                <c:pt idx="6">
                  <c:v>55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65</c:v>
                </c:pt>
                <c:pt idx="11">
                  <c:v>67</c:v>
                </c:pt>
                <c:pt idx="12">
                  <c:v>69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90</c:v>
                </c:pt>
                <c:pt idx="24">
                  <c:v>91</c:v>
                </c:pt>
                <c:pt idx="25">
                  <c:v>93</c:v>
                </c:pt>
                <c:pt idx="26">
                  <c:v>95</c:v>
                </c:pt>
                <c:pt idx="27">
                  <c:v>96</c:v>
                </c:pt>
                <c:pt idx="28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B-43F0-8D3E-E6FD0D266231}"/>
            </c:ext>
          </c:extLst>
        </c:ser>
        <c:ser>
          <c:idx val="1"/>
          <c:order val="1"/>
          <c:tx>
            <c:v>Predicted 35</c:v>
          </c:tx>
          <c:spPr>
            <a:ln w="38100">
              <a:noFill/>
            </a:ln>
          </c:spPr>
          <c:xVal>
            <c:numRef>
              <c:f>'[1]A6_Q2&amp;Q4'!$A$7:$A$35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'[1]A6_Q2&amp;Q4'!$E$27:$E$55</c:f>
              <c:numCache>
                <c:formatCode>General</c:formatCode>
                <c:ptCount val="29"/>
                <c:pt idx="0">
                  <c:v>41.931034482758591</c:v>
                </c:pt>
                <c:pt idx="1">
                  <c:v>44.014778325123125</c:v>
                </c:pt>
                <c:pt idx="2">
                  <c:v>46.098522167487658</c:v>
                </c:pt>
                <c:pt idx="3">
                  <c:v>48.182266009852192</c:v>
                </c:pt>
                <c:pt idx="4">
                  <c:v>50.266009852216726</c:v>
                </c:pt>
                <c:pt idx="5">
                  <c:v>52.34975369458126</c:v>
                </c:pt>
                <c:pt idx="6">
                  <c:v>54.433497536945794</c:v>
                </c:pt>
                <c:pt idx="7">
                  <c:v>56.517241379310327</c:v>
                </c:pt>
                <c:pt idx="8">
                  <c:v>58.600985221674861</c:v>
                </c:pt>
                <c:pt idx="9">
                  <c:v>60.684729064039395</c:v>
                </c:pt>
                <c:pt idx="10">
                  <c:v>62.768472906403929</c:v>
                </c:pt>
                <c:pt idx="11">
                  <c:v>64.852216748768456</c:v>
                </c:pt>
                <c:pt idx="12">
                  <c:v>66.935960591132996</c:v>
                </c:pt>
                <c:pt idx="13">
                  <c:v>69.019704433497537</c:v>
                </c:pt>
                <c:pt idx="14">
                  <c:v>71.103448275862064</c:v>
                </c:pt>
                <c:pt idx="15">
                  <c:v>73.187192118226591</c:v>
                </c:pt>
                <c:pt idx="16">
                  <c:v>75.270935960591132</c:v>
                </c:pt>
                <c:pt idx="17">
                  <c:v>77.354679802955673</c:v>
                </c:pt>
                <c:pt idx="18">
                  <c:v>79.438423645320199</c:v>
                </c:pt>
                <c:pt idx="19">
                  <c:v>81.522167487684726</c:v>
                </c:pt>
                <c:pt idx="20">
                  <c:v>83.605911330049267</c:v>
                </c:pt>
                <c:pt idx="21">
                  <c:v>85.689655172413808</c:v>
                </c:pt>
                <c:pt idx="22">
                  <c:v>87.773399014778335</c:v>
                </c:pt>
                <c:pt idx="23">
                  <c:v>89.857142857142861</c:v>
                </c:pt>
                <c:pt idx="24">
                  <c:v>91.940886699507402</c:v>
                </c:pt>
                <c:pt idx="25">
                  <c:v>94.024630541871943</c:v>
                </c:pt>
                <c:pt idx="26">
                  <c:v>96.10837438423647</c:v>
                </c:pt>
                <c:pt idx="27">
                  <c:v>98.192118226600996</c:v>
                </c:pt>
                <c:pt idx="28">
                  <c:v>100.27586206896554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9B-43F0-8D3E-E6FD0D266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519423"/>
        <c:axId val="662514143"/>
      </c:scatterChart>
      <c:valAx>
        <c:axId val="662519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514143"/>
        <c:crosses val="autoZero"/>
        <c:crossBetween val="midCat"/>
      </c:valAx>
      <c:valAx>
        <c:axId val="662514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5194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28</xdr:row>
      <xdr:rowOff>69850</xdr:rowOff>
    </xdr:from>
    <xdr:to>
      <xdr:col>20</xdr:col>
      <xdr:colOff>247650</xdr:colOff>
      <xdr:row>38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BAE44-79B6-42A3-8B0B-65EE62E63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196850</xdr:colOff>
      <xdr:row>39</xdr:row>
      <xdr:rowOff>25400</xdr:rowOff>
    </xdr:from>
    <xdr:to>
      <xdr:col>20</xdr:col>
      <xdr:colOff>196850</xdr:colOff>
      <xdr:row>49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0D4CF7-5D9C-4634-A1C0-C37742EDC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12700</xdr:colOff>
      <xdr:row>28</xdr:row>
      <xdr:rowOff>50800</xdr:rowOff>
    </xdr:from>
    <xdr:to>
      <xdr:col>27</xdr:col>
      <xdr:colOff>12700</xdr:colOff>
      <xdr:row>38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EFE98F-EF01-4131-BF38-432C7DC60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605971</xdr:colOff>
      <xdr:row>39</xdr:row>
      <xdr:rowOff>14515</xdr:rowOff>
    </xdr:from>
    <xdr:to>
      <xdr:col>26</xdr:col>
      <xdr:colOff>605971</xdr:colOff>
      <xdr:row>49</xdr:row>
      <xdr:rowOff>32658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EDEDA4-DF2E-4284-B674-D654BD23B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BI\AppData\Local\Packages\5319275A.WhatsAppDesktop_cv1g1gvanyjgm\LocalState\sessions\B9D9157C37E72C18D14789010CB167B8C4E014EC\transfers\2026-04\Maths%20Workbook%20Final.xlsx" TargetMode="External"/><Relationship Id="rId1" Type="http://schemas.openxmlformats.org/officeDocument/2006/relationships/externalLinkPath" Target="file:///C:\Users\SDBI\AppData\Local\Packages\5319275A.WhatsAppDesktop_cv1g1gvanyjgm\LocalState\sessions\B9D9157C37E72C18D14789010CB167B8C4E014EC\transfers\2026-04\Maths%20Workbook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1_Q_2"/>
      <sheetName val="A1_Q_3"/>
      <sheetName val="A1_Q_4"/>
      <sheetName val="A2_Q3"/>
      <sheetName val="A2_Q4"/>
      <sheetName val="A3_Q2"/>
      <sheetName val="A3_Q3"/>
      <sheetName val="A4_Q1"/>
      <sheetName val="A4_Q2"/>
      <sheetName val="A4_Q3"/>
      <sheetName val="A4_Q4"/>
      <sheetName val="A4_Q5"/>
      <sheetName val="A5_Q1"/>
      <sheetName val="A5_Q3"/>
      <sheetName val="A5_Q4"/>
      <sheetName val="A12_Q1"/>
      <sheetName val="A6_Q2&amp;Q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A6">
            <v>1</v>
          </cell>
          <cell r="B6">
            <v>35</v>
          </cell>
        </row>
        <row r="7">
          <cell r="A7">
            <v>2</v>
          </cell>
          <cell r="B7">
            <v>38</v>
          </cell>
        </row>
        <row r="8">
          <cell r="A8">
            <v>3</v>
          </cell>
          <cell r="B8">
            <v>40</v>
          </cell>
        </row>
        <row r="9">
          <cell r="A9">
            <v>4</v>
          </cell>
          <cell r="B9">
            <v>45</v>
          </cell>
        </row>
        <row r="10">
          <cell r="A10">
            <v>5</v>
          </cell>
          <cell r="B10">
            <v>48</v>
          </cell>
        </row>
        <row r="11">
          <cell r="A11">
            <v>6</v>
          </cell>
          <cell r="B11">
            <v>50</v>
          </cell>
        </row>
        <row r="12">
          <cell r="A12">
            <v>7</v>
          </cell>
          <cell r="B12">
            <v>52</v>
          </cell>
        </row>
        <row r="13">
          <cell r="A13">
            <v>8</v>
          </cell>
          <cell r="B13">
            <v>55</v>
          </cell>
        </row>
        <row r="14">
          <cell r="A14">
            <v>9</v>
          </cell>
          <cell r="B14">
            <v>58</v>
          </cell>
        </row>
        <row r="15">
          <cell r="A15">
            <v>10</v>
          </cell>
          <cell r="B15">
            <v>60</v>
          </cell>
        </row>
        <row r="16">
          <cell r="A16">
            <v>11</v>
          </cell>
          <cell r="B16">
            <v>62</v>
          </cell>
        </row>
        <row r="17">
          <cell r="A17">
            <v>12</v>
          </cell>
          <cell r="B17">
            <v>65</v>
          </cell>
        </row>
        <row r="18">
          <cell r="A18">
            <v>13</v>
          </cell>
          <cell r="B18">
            <v>67</v>
          </cell>
        </row>
        <row r="19">
          <cell r="A19">
            <v>14</v>
          </cell>
          <cell r="B19">
            <v>69</v>
          </cell>
        </row>
        <row r="20">
          <cell r="A20">
            <v>15</v>
          </cell>
          <cell r="B20">
            <v>70</v>
          </cell>
        </row>
        <row r="21">
          <cell r="A21">
            <v>16</v>
          </cell>
          <cell r="B21">
            <v>72</v>
          </cell>
        </row>
        <row r="22">
          <cell r="A22">
            <v>17</v>
          </cell>
          <cell r="B22">
            <v>74</v>
          </cell>
        </row>
        <row r="23">
          <cell r="A23">
            <v>18</v>
          </cell>
          <cell r="B23">
            <v>76</v>
          </cell>
        </row>
        <row r="24">
          <cell r="A24">
            <v>19</v>
          </cell>
          <cell r="B24">
            <v>78</v>
          </cell>
        </row>
        <row r="25">
          <cell r="A25">
            <v>20</v>
          </cell>
          <cell r="B25">
            <v>80</v>
          </cell>
        </row>
        <row r="26">
          <cell r="A26">
            <v>21</v>
          </cell>
          <cell r="B26">
            <v>82</v>
          </cell>
        </row>
        <row r="27">
          <cell r="A27">
            <v>22</v>
          </cell>
          <cell r="B27">
            <v>84</v>
          </cell>
          <cell r="E27">
            <v>41.931034482758591</v>
          </cell>
          <cell r="F27">
            <v>-3.9310344827585908</v>
          </cell>
        </row>
        <row r="28">
          <cell r="A28">
            <v>23</v>
          </cell>
          <cell r="B28">
            <v>86</v>
          </cell>
          <cell r="E28">
            <v>44.014778325123125</v>
          </cell>
          <cell r="F28">
            <v>-4.0147783251231246</v>
          </cell>
        </row>
        <row r="29">
          <cell r="A29">
            <v>24</v>
          </cell>
          <cell r="B29">
            <v>88</v>
          </cell>
          <cell r="E29">
            <v>46.098522167487658</v>
          </cell>
          <cell r="F29">
            <v>-1.0985221674876584</v>
          </cell>
        </row>
        <row r="30">
          <cell r="A30">
            <v>25</v>
          </cell>
          <cell r="B30">
            <v>90</v>
          </cell>
          <cell r="E30">
            <v>48.182266009852192</v>
          </cell>
          <cell r="F30">
            <v>-0.18226600985219221</v>
          </cell>
        </row>
        <row r="31">
          <cell r="A31">
            <v>26</v>
          </cell>
          <cell r="B31">
            <v>91</v>
          </cell>
          <cell r="E31">
            <v>50.266009852216726</v>
          </cell>
          <cell r="F31">
            <v>-0.26600985221672602</v>
          </cell>
        </row>
        <row r="32">
          <cell r="A32">
            <v>27</v>
          </cell>
          <cell r="B32">
            <v>93</v>
          </cell>
          <cell r="E32">
            <v>52.34975369458126</v>
          </cell>
          <cell r="F32">
            <v>-0.34975369458125982</v>
          </cell>
        </row>
        <row r="33">
          <cell r="A33">
            <v>28</v>
          </cell>
          <cell r="B33">
            <v>95</v>
          </cell>
          <cell r="E33">
            <v>54.433497536945794</v>
          </cell>
          <cell r="F33">
            <v>0.56650246305420637</v>
          </cell>
        </row>
        <row r="34">
          <cell r="A34">
            <v>29</v>
          </cell>
          <cell r="B34">
            <v>96</v>
          </cell>
          <cell r="E34">
            <v>56.517241379310327</v>
          </cell>
          <cell r="F34">
            <v>1.4827586206896726</v>
          </cell>
        </row>
        <row r="35">
          <cell r="A35">
            <v>30</v>
          </cell>
          <cell r="B35">
            <v>98</v>
          </cell>
          <cell r="E35">
            <v>58.600985221674861</v>
          </cell>
          <cell r="F35">
            <v>1.3990147783251388</v>
          </cell>
        </row>
        <row r="36">
          <cell r="E36">
            <v>60.684729064039395</v>
          </cell>
          <cell r="F36">
            <v>1.315270935960605</v>
          </cell>
        </row>
        <row r="37">
          <cell r="E37">
            <v>62.768472906403929</v>
          </cell>
          <cell r="F37">
            <v>2.2315270935960712</v>
          </cell>
        </row>
        <row r="38">
          <cell r="E38">
            <v>64.852216748768456</v>
          </cell>
          <cell r="F38">
            <v>2.1477832512315445</v>
          </cell>
        </row>
        <row r="39">
          <cell r="E39">
            <v>66.935960591132996</v>
          </cell>
          <cell r="F39">
            <v>2.0640394088670035</v>
          </cell>
        </row>
        <row r="40">
          <cell r="E40">
            <v>69.019704433497537</v>
          </cell>
          <cell r="F40">
            <v>0.98029556650246263</v>
          </cell>
        </row>
        <row r="41">
          <cell r="E41">
            <v>71.103448275862064</v>
          </cell>
          <cell r="F41">
            <v>0.89655172413793593</v>
          </cell>
        </row>
        <row r="42">
          <cell r="E42">
            <v>73.187192118226591</v>
          </cell>
          <cell r="F42">
            <v>0.81280788177340924</v>
          </cell>
        </row>
        <row r="43">
          <cell r="E43">
            <v>75.270935960591132</v>
          </cell>
          <cell r="F43">
            <v>0.72906403940886833</v>
          </cell>
        </row>
        <row r="44">
          <cell r="E44">
            <v>77.354679802955673</v>
          </cell>
          <cell r="F44">
            <v>0.64532019704432741</v>
          </cell>
        </row>
        <row r="45">
          <cell r="E45">
            <v>79.438423645320199</v>
          </cell>
          <cell r="F45">
            <v>0.56157635467980072</v>
          </cell>
        </row>
        <row r="46">
          <cell r="E46">
            <v>81.522167487684726</v>
          </cell>
          <cell r="F46">
            <v>0.47783251231527402</v>
          </cell>
        </row>
        <row r="47">
          <cell r="E47">
            <v>83.605911330049267</v>
          </cell>
          <cell r="F47">
            <v>0.39408866995073311</v>
          </cell>
        </row>
        <row r="48">
          <cell r="E48">
            <v>85.689655172413808</v>
          </cell>
          <cell r="F48">
            <v>0.3103448275861922</v>
          </cell>
        </row>
        <row r="49">
          <cell r="E49">
            <v>87.773399014778335</v>
          </cell>
          <cell r="F49">
            <v>0.2266009852216655</v>
          </cell>
        </row>
        <row r="50">
          <cell r="E50">
            <v>89.857142857142861</v>
          </cell>
          <cell r="F50">
            <v>0.1428571428571388</v>
          </cell>
        </row>
        <row r="51">
          <cell r="E51">
            <v>91.940886699507402</v>
          </cell>
          <cell r="F51">
            <v>-0.94088669950740211</v>
          </cell>
        </row>
        <row r="52">
          <cell r="E52">
            <v>94.024630541871943</v>
          </cell>
          <cell r="F52">
            <v>-1.024630541871943</v>
          </cell>
        </row>
        <row r="53">
          <cell r="E53">
            <v>96.10837438423647</v>
          </cell>
          <cell r="F53">
            <v>-1.1083743842364697</v>
          </cell>
        </row>
        <row r="54">
          <cell r="E54">
            <v>98.192118226600996</v>
          </cell>
          <cell r="F54">
            <v>-2.1921182266009964</v>
          </cell>
        </row>
        <row r="55">
          <cell r="E55">
            <v>100.27586206896554</v>
          </cell>
          <cell r="F55">
            <v>-2.2758620689655373</v>
          </cell>
        </row>
        <row r="56">
          <cell r="E56">
            <v>96.33770856507229</v>
          </cell>
          <cell r="F56">
            <v>-1.3377085650722904</v>
          </cell>
        </row>
        <row r="57">
          <cell r="E57">
            <v>98.452725250278093</v>
          </cell>
          <cell r="F57">
            <v>-2.4527252502780925</v>
          </cell>
        </row>
        <row r="58">
          <cell r="E58">
            <v>100.56774193548387</v>
          </cell>
          <cell r="F58">
            <v>-2.5677419354838662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66C7-B8E7-4AC3-AB5E-916CF76626EC}">
  <dimension ref="A1:H26"/>
  <sheetViews>
    <sheetView topLeftCell="A2" workbookViewId="0">
      <selection activeCell="K11" sqref="K11"/>
    </sheetView>
  </sheetViews>
  <sheetFormatPr defaultRowHeight="14.5" x14ac:dyDescent="0.35"/>
  <sheetData>
    <row r="1" spans="1:8" ht="31" x14ac:dyDescent="0.35">
      <c r="A1" s="1" t="s">
        <v>0</v>
      </c>
    </row>
    <row r="3" spans="1:8" ht="23.5" x14ac:dyDescent="0.35">
      <c r="A3" s="2" t="s">
        <v>1</v>
      </c>
    </row>
    <row r="5" spans="1:8" ht="16" x14ac:dyDescent="0.35">
      <c r="A5" s="3" t="s">
        <v>2</v>
      </c>
    </row>
    <row r="6" spans="1:8" ht="16" x14ac:dyDescent="0.4">
      <c r="A6" s="4"/>
    </row>
    <row r="7" spans="1:8" ht="16" x14ac:dyDescent="0.35">
      <c r="A7" s="3" t="s">
        <v>3</v>
      </c>
    </row>
    <row r="9" spans="1:8" x14ac:dyDescent="0.35">
      <c r="A9" s="5" t="s">
        <v>4</v>
      </c>
      <c r="B9" t="s">
        <v>7</v>
      </c>
      <c r="G9" t="s">
        <v>5</v>
      </c>
      <c r="H9">
        <f>AVERAGE(A10:A19)</f>
        <v>65.7</v>
      </c>
    </row>
    <row r="10" spans="1:8" x14ac:dyDescent="0.35">
      <c r="A10" s="5">
        <v>52</v>
      </c>
      <c r="B10">
        <f>(A10-H9)/H10</f>
        <v>-1.1878960013430331</v>
      </c>
      <c r="G10" t="s">
        <v>6</v>
      </c>
      <c r="H10">
        <f>_xlfn.STDEV.P(A10:A19)</f>
        <v>11.532996141506334</v>
      </c>
    </row>
    <row r="11" spans="1:8" x14ac:dyDescent="0.35">
      <c r="A11" s="5">
        <v>55</v>
      </c>
      <c r="B11">
        <f>(A11-H9)/H10</f>
        <v>-0.9277727893701061</v>
      </c>
    </row>
    <row r="12" spans="1:8" x14ac:dyDescent="0.35">
      <c r="A12" s="5">
        <v>58</v>
      </c>
      <c r="B12">
        <f>(A12-H9)/H10</f>
        <v>-0.66764957739717923</v>
      </c>
    </row>
    <row r="13" spans="1:8" x14ac:dyDescent="0.35">
      <c r="A13" s="5">
        <v>60</v>
      </c>
      <c r="B13">
        <f>(A13-H9)/H10</f>
        <v>-0.49423410274856133</v>
      </c>
    </row>
    <row r="14" spans="1:8" x14ac:dyDescent="0.35">
      <c r="A14" s="5">
        <v>62</v>
      </c>
      <c r="B14">
        <f>(A14-H9)/H10</f>
        <v>-0.32081862809994338</v>
      </c>
    </row>
    <row r="15" spans="1:8" x14ac:dyDescent="0.35">
      <c r="A15" s="5">
        <v>65</v>
      </c>
      <c r="B15">
        <f>(A15-H9)/H10</f>
        <v>-6.0695416127016517E-2</v>
      </c>
    </row>
    <row r="16" spans="1:8" x14ac:dyDescent="0.35">
      <c r="A16" s="5">
        <v>68</v>
      </c>
      <c r="B16">
        <f>(A16-H9)/H10</f>
        <v>0.19942779584591036</v>
      </c>
    </row>
    <row r="17" spans="1:4" x14ac:dyDescent="0.35">
      <c r="A17" s="5">
        <v>70</v>
      </c>
      <c r="B17">
        <f>(A17-H9)/H10</f>
        <v>0.37284327049452826</v>
      </c>
    </row>
    <row r="18" spans="1:4" x14ac:dyDescent="0.35">
      <c r="A18" s="5">
        <v>72</v>
      </c>
      <c r="B18">
        <f>(A18-H9)/H10</f>
        <v>0.54625874514314621</v>
      </c>
    </row>
    <row r="19" spans="1:4" x14ac:dyDescent="0.35">
      <c r="A19" s="5">
        <v>95</v>
      </c>
      <c r="B19">
        <f>(A19-H9)/H10</f>
        <v>2.5405367036022524</v>
      </c>
    </row>
    <row r="22" spans="1:4" x14ac:dyDescent="0.35">
      <c r="B22" s="6" t="s">
        <v>8</v>
      </c>
    </row>
    <row r="24" spans="1:4" x14ac:dyDescent="0.35">
      <c r="A24" s="6" t="s">
        <v>9</v>
      </c>
      <c r="D24" t="s">
        <v>12</v>
      </c>
    </row>
    <row r="25" spans="1:4" x14ac:dyDescent="0.35">
      <c r="D25" s="6" t="s">
        <v>10</v>
      </c>
    </row>
    <row r="26" spans="1:4" x14ac:dyDescent="0.35">
      <c r="D26" s="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8D84-4655-4B89-AA8B-7D13E91CAF94}">
  <dimension ref="A1:L58"/>
  <sheetViews>
    <sheetView tabSelected="1" zoomScale="66" workbookViewId="0">
      <selection activeCell="A3" sqref="A3:XFD3"/>
    </sheetView>
  </sheetViews>
  <sheetFormatPr defaultRowHeight="14.5" x14ac:dyDescent="0.35"/>
  <sheetData>
    <row r="1" spans="1:9" s="11" customFormat="1" x14ac:dyDescent="0.35">
      <c r="A1" s="11" t="s">
        <v>40</v>
      </c>
    </row>
    <row r="3" spans="1:9" s="11" customFormat="1" x14ac:dyDescent="0.35">
      <c r="A3" s="11" t="s">
        <v>41</v>
      </c>
    </row>
    <row r="5" spans="1:9" x14ac:dyDescent="0.35">
      <c r="A5" s="8" t="s">
        <v>42</v>
      </c>
      <c r="B5" s="8" t="s">
        <v>13</v>
      </c>
      <c r="C5" s="8"/>
      <c r="D5" s="8" t="s">
        <v>14</v>
      </c>
      <c r="E5" s="8"/>
    </row>
    <row r="6" spans="1:9" x14ac:dyDescent="0.35">
      <c r="A6">
        <v>1</v>
      </c>
      <c r="B6">
        <v>35</v>
      </c>
      <c r="D6" t="s">
        <v>15</v>
      </c>
      <c r="E6">
        <v>0.99602724293257472</v>
      </c>
    </row>
    <row r="7" spans="1:9" x14ac:dyDescent="0.35">
      <c r="A7">
        <v>2</v>
      </c>
      <c r="B7">
        <v>38</v>
      </c>
      <c r="D7" t="s">
        <v>16</v>
      </c>
      <c r="E7">
        <v>0.99207026866386627</v>
      </c>
    </row>
    <row r="8" spans="1:9" x14ac:dyDescent="0.35">
      <c r="A8">
        <v>3</v>
      </c>
      <c r="B8">
        <v>40</v>
      </c>
      <c r="D8" t="s">
        <v>17</v>
      </c>
      <c r="E8">
        <v>0.99177657491067617</v>
      </c>
    </row>
    <row r="9" spans="1:9" x14ac:dyDescent="0.35">
      <c r="A9">
        <v>4</v>
      </c>
      <c r="B9">
        <v>45</v>
      </c>
      <c r="D9" t="s">
        <v>18</v>
      </c>
      <c r="E9">
        <v>1.6153568803076306</v>
      </c>
    </row>
    <row r="10" spans="1:9" ht="15" thickBot="1" x14ac:dyDescent="0.4">
      <c r="A10">
        <v>5</v>
      </c>
      <c r="B10">
        <v>48</v>
      </c>
      <c r="D10" s="7" t="s">
        <v>19</v>
      </c>
      <c r="E10" s="7">
        <v>29</v>
      </c>
    </row>
    <row r="11" spans="1:9" x14ac:dyDescent="0.35">
      <c r="A11">
        <v>6</v>
      </c>
      <c r="B11">
        <v>50</v>
      </c>
    </row>
    <row r="12" spans="1:9" x14ac:dyDescent="0.35">
      <c r="A12">
        <v>7</v>
      </c>
      <c r="B12">
        <v>52</v>
      </c>
      <c r="D12" s="8" t="s">
        <v>20</v>
      </c>
    </row>
    <row r="13" spans="1:9" x14ac:dyDescent="0.35">
      <c r="A13">
        <v>8</v>
      </c>
      <c r="B13">
        <v>55</v>
      </c>
      <c r="D13" s="8"/>
      <c r="E13" s="8" t="s">
        <v>25</v>
      </c>
      <c r="F13" s="8" t="s">
        <v>26</v>
      </c>
      <c r="G13" s="8" t="s">
        <v>27</v>
      </c>
      <c r="H13" s="8" t="s">
        <v>28</v>
      </c>
      <c r="I13" s="8" t="s">
        <v>29</v>
      </c>
    </row>
    <row r="14" spans="1:9" x14ac:dyDescent="0.35">
      <c r="A14">
        <v>9</v>
      </c>
      <c r="B14">
        <v>58</v>
      </c>
      <c r="D14" s="9" t="s">
        <v>21</v>
      </c>
      <c r="E14">
        <v>1</v>
      </c>
      <c r="F14">
        <v>8814.236453201971</v>
      </c>
      <c r="G14">
        <v>8814.236453201971</v>
      </c>
      <c r="H14">
        <v>3377.9072856942571</v>
      </c>
      <c r="I14">
        <v>6.6655562804100234E-30</v>
      </c>
    </row>
    <row r="15" spans="1:9" x14ac:dyDescent="0.35">
      <c r="A15">
        <v>10</v>
      </c>
      <c r="B15">
        <v>60</v>
      </c>
      <c r="D15" s="9" t="s">
        <v>22</v>
      </c>
      <c r="E15">
        <v>27</v>
      </c>
      <c r="F15">
        <v>70.453201970444425</v>
      </c>
      <c r="G15">
        <v>2.609377850757201</v>
      </c>
    </row>
    <row r="16" spans="1:9" ht="15" thickBot="1" x14ac:dyDescent="0.4">
      <c r="A16">
        <v>11</v>
      </c>
      <c r="B16">
        <v>62</v>
      </c>
      <c r="D16" s="10" t="s">
        <v>23</v>
      </c>
      <c r="E16" s="7">
        <v>28</v>
      </c>
      <c r="F16" s="7">
        <v>8884.6896551724149</v>
      </c>
      <c r="G16" s="7"/>
      <c r="H16" s="7"/>
      <c r="I16" s="7"/>
    </row>
    <row r="17" spans="1:12" x14ac:dyDescent="0.35">
      <c r="A17">
        <v>12</v>
      </c>
      <c r="B17">
        <v>65</v>
      </c>
    </row>
    <row r="18" spans="1:12" x14ac:dyDescent="0.35">
      <c r="A18">
        <v>13</v>
      </c>
      <c r="B18">
        <v>67</v>
      </c>
      <c r="D18" s="8"/>
      <c r="E18" s="8" t="s">
        <v>30</v>
      </c>
      <c r="F18" s="8" t="s">
        <v>18</v>
      </c>
      <c r="G18" s="8" t="s">
        <v>31</v>
      </c>
      <c r="H18" s="8" t="s">
        <v>32</v>
      </c>
      <c r="I18" s="8" t="s">
        <v>33</v>
      </c>
      <c r="J18" s="8" t="s">
        <v>34</v>
      </c>
      <c r="K18" s="8" t="s">
        <v>35</v>
      </c>
      <c r="L18" s="8" t="s">
        <v>36</v>
      </c>
    </row>
    <row r="19" spans="1:12" x14ac:dyDescent="0.35">
      <c r="A19">
        <v>14</v>
      </c>
      <c r="B19">
        <v>69</v>
      </c>
      <c r="D19" s="9" t="s">
        <v>24</v>
      </c>
      <c r="E19">
        <v>37.763546798029523</v>
      </c>
      <c r="F19">
        <v>0.64733526513782491</v>
      </c>
      <c r="G19">
        <v>58.336921888519761</v>
      </c>
      <c r="H19">
        <v>6.0316967739880458E-30</v>
      </c>
      <c r="I19">
        <v>36.435324546625878</v>
      </c>
      <c r="J19">
        <v>39.091769049433168</v>
      </c>
      <c r="K19">
        <v>36.435324546625878</v>
      </c>
      <c r="L19">
        <v>39.091769049433168</v>
      </c>
    </row>
    <row r="20" spans="1:12" ht="15" thickBot="1" x14ac:dyDescent="0.4">
      <c r="A20">
        <v>15</v>
      </c>
      <c r="B20">
        <v>70</v>
      </c>
      <c r="D20" s="10">
        <v>1</v>
      </c>
      <c r="E20" s="7">
        <v>2.0837438423645338</v>
      </c>
      <c r="F20" s="7">
        <v>3.5852584401334021E-2</v>
      </c>
      <c r="G20" s="7">
        <v>58.119766738126714</v>
      </c>
      <c r="H20" s="7">
        <v>6.6655562804099281E-30</v>
      </c>
      <c r="I20" s="7">
        <v>2.0101804155951917</v>
      </c>
      <c r="J20" s="7">
        <v>2.1573072691338759</v>
      </c>
      <c r="K20" s="7">
        <v>2.0101804155951917</v>
      </c>
      <c r="L20" s="7">
        <v>2.1573072691338759</v>
      </c>
    </row>
    <row r="21" spans="1:12" x14ac:dyDescent="0.35">
      <c r="A21">
        <v>16</v>
      </c>
      <c r="B21">
        <v>72</v>
      </c>
    </row>
    <row r="22" spans="1:12" x14ac:dyDescent="0.35">
      <c r="A22">
        <v>17</v>
      </c>
      <c r="B22">
        <v>74</v>
      </c>
    </row>
    <row r="23" spans="1:12" x14ac:dyDescent="0.35">
      <c r="A23">
        <v>18</v>
      </c>
      <c r="B23">
        <v>76</v>
      </c>
    </row>
    <row r="24" spans="1:12" x14ac:dyDescent="0.35">
      <c r="A24">
        <v>19</v>
      </c>
      <c r="B24">
        <v>78</v>
      </c>
      <c r="D24" s="8" t="s">
        <v>37</v>
      </c>
    </row>
    <row r="25" spans="1:12" x14ac:dyDescent="0.35">
      <c r="A25">
        <v>20</v>
      </c>
      <c r="B25">
        <v>80</v>
      </c>
    </row>
    <row r="26" spans="1:12" x14ac:dyDescent="0.35">
      <c r="A26">
        <v>21</v>
      </c>
      <c r="B26">
        <v>82</v>
      </c>
      <c r="D26" s="8" t="s">
        <v>38</v>
      </c>
      <c r="E26" s="8" t="s">
        <v>43</v>
      </c>
      <c r="F26" s="8" t="s">
        <v>39</v>
      </c>
    </row>
    <row r="27" spans="1:12" x14ac:dyDescent="0.35">
      <c r="A27">
        <v>22</v>
      </c>
      <c r="B27">
        <v>84</v>
      </c>
      <c r="D27">
        <v>1</v>
      </c>
      <c r="E27">
        <v>41.931034482758591</v>
      </c>
      <c r="F27">
        <v>-3.9310344827585908</v>
      </c>
    </row>
    <row r="28" spans="1:12" x14ac:dyDescent="0.35">
      <c r="A28">
        <v>23</v>
      </c>
      <c r="B28">
        <v>86</v>
      </c>
      <c r="D28">
        <v>2</v>
      </c>
      <c r="E28">
        <v>44.014778325123125</v>
      </c>
      <c r="F28">
        <v>-4.0147783251231246</v>
      </c>
    </row>
    <row r="29" spans="1:12" x14ac:dyDescent="0.35">
      <c r="A29">
        <v>24</v>
      </c>
      <c r="B29">
        <v>88</v>
      </c>
      <c r="D29">
        <v>3</v>
      </c>
      <c r="E29">
        <v>46.098522167487658</v>
      </c>
      <c r="F29">
        <v>-1.0985221674876584</v>
      </c>
    </row>
    <row r="30" spans="1:12" x14ac:dyDescent="0.35">
      <c r="A30">
        <v>25</v>
      </c>
      <c r="B30">
        <v>90</v>
      </c>
      <c r="D30">
        <v>4</v>
      </c>
      <c r="E30">
        <v>48.182266009852192</v>
      </c>
      <c r="F30">
        <v>-0.18226600985219221</v>
      </c>
    </row>
    <row r="31" spans="1:12" x14ac:dyDescent="0.35">
      <c r="A31">
        <v>26</v>
      </c>
      <c r="B31">
        <v>91</v>
      </c>
      <c r="D31">
        <v>5</v>
      </c>
      <c r="E31">
        <v>50.266009852216726</v>
      </c>
      <c r="F31">
        <v>-0.26600985221672602</v>
      </c>
    </row>
    <row r="32" spans="1:12" x14ac:dyDescent="0.35">
      <c r="A32">
        <v>27</v>
      </c>
      <c r="B32">
        <v>93</v>
      </c>
      <c r="D32">
        <v>6</v>
      </c>
      <c r="E32">
        <v>52.34975369458126</v>
      </c>
      <c r="F32">
        <v>-0.34975369458125982</v>
      </c>
    </row>
    <row r="33" spans="1:6" x14ac:dyDescent="0.35">
      <c r="A33">
        <v>28</v>
      </c>
      <c r="B33">
        <v>95</v>
      </c>
      <c r="D33">
        <v>7</v>
      </c>
      <c r="E33">
        <v>54.433497536945794</v>
      </c>
      <c r="F33">
        <v>0.56650246305420637</v>
      </c>
    </row>
    <row r="34" spans="1:6" x14ac:dyDescent="0.35">
      <c r="A34">
        <v>29</v>
      </c>
      <c r="B34">
        <v>96</v>
      </c>
      <c r="D34">
        <v>8</v>
      </c>
      <c r="E34">
        <v>56.517241379310327</v>
      </c>
      <c r="F34">
        <v>1.4827586206896726</v>
      </c>
    </row>
    <row r="35" spans="1:6" x14ac:dyDescent="0.35">
      <c r="A35">
        <v>30</v>
      </c>
      <c r="B35">
        <v>98</v>
      </c>
      <c r="D35">
        <v>9</v>
      </c>
      <c r="E35">
        <v>58.600985221674861</v>
      </c>
      <c r="F35">
        <v>1.3990147783251388</v>
      </c>
    </row>
    <row r="36" spans="1:6" x14ac:dyDescent="0.35">
      <c r="D36">
        <v>10</v>
      </c>
      <c r="E36">
        <v>60.684729064039395</v>
      </c>
      <c r="F36">
        <v>1.315270935960605</v>
      </c>
    </row>
    <row r="37" spans="1:6" x14ac:dyDescent="0.35">
      <c r="D37">
        <v>11</v>
      </c>
      <c r="E37">
        <v>62.768472906403929</v>
      </c>
      <c r="F37">
        <v>2.2315270935960712</v>
      </c>
    </row>
    <row r="38" spans="1:6" x14ac:dyDescent="0.35">
      <c r="D38">
        <v>12</v>
      </c>
      <c r="E38">
        <v>64.852216748768456</v>
      </c>
      <c r="F38">
        <v>2.1477832512315445</v>
      </c>
    </row>
    <row r="39" spans="1:6" x14ac:dyDescent="0.35">
      <c r="D39">
        <v>13</v>
      </c>
      <c r="E39">
        <v>66.935960591132996</v>
      </c>
      <c r="F39">
        <v>2.0640394088670035</v>
      </c>
    </row>
    <row r="40" spans="1:6" x14ac:dyDescent="0.35">
      <c r="D40">
        <v>14</v>
      </c>
      <c r="E40">
        <v>69.019704433497537</v>
      </c>
      <c r="F40">
        <v>0.98029556650246263</v>
      </c>
    </row>
    <row r="41" spans="1:6" x14ac:dyDescent="0.35">
      <c r="D41">
        <v>15</v>
      </c>
      <c r="E41">
        <v>71.103448275862064</v>
      </c>
      <c r="F41">
        <v>0.89655172413793593</v>
      </c>
    </row>
    <row r="42" spans="1:6" x14ac:dyDescent="0.35">
      <c r="D42">
        <v>16</v>
      </c>
      <c r="E42">
        <v>73.187192118226591</v>
      </c>
      <c r="F42">
        <v>0.81280788177340924</v>
      </c>
    </row>
    <row r="43" spans="1:6" x14ac:dyDescent="0.35">
      <c r="D43">
        <v>17</v>
      </c>
      <c r="E43">
        <v>75.270935960591132</v>
      </c>
      <c r="F43">
        <v>0.72906403940886833</v>
      </c>
    </row>
    <row r="44" spans="1:6" x14ac:dyDescent="0.35">
      <c r="D44">
        <v>18</v>
      </c>
      <c r="E44">
        <v>77.354679802955673</v>
      </c>
      <c r="F44">
        <v>0.64532019704432741</v>
      </c>
    </row>
    <row r="45" spans="1:6" x14ac:dyDescent="0.35">
      <c r="D45">
        <v>19</v>
      </c>
      <c r="E45">
        <v>79.438423645320199</v>
      </c>
      <c r="F45">
        <v>0.56157635467980072</v>
      </c>
    </row>
    <row r="46" spans="1:6" x14ac:dyDescent="0.35">
      <c r="D46">
        <v>20</v>
      </c>
      <c r="E46">
        <v>81.522167487684726</v>
      </c>
      <c r="F46">
        <v>0.47783251231527402</v>
      </c>
    </row>
    <row r="47" spans="1:6" x14ac:dyDescent="0.35">
      <c r="D47">
        <v>21</v>
      </c>
      <c r="E47">
        <v>83.605911330049267</v>
      </c>
      <c r="F47">
        <v>0.39408866995073311</v>
      </c>
    </row>
    <row r="48" spans="1:6" x14ac:dyDescent="0.35">
      <c r="D48">
        <v>22</v>
      </c>
      <c r="E48">
        <v>85.689655172413808</v>
      </c>
      <c r="F48">
        <v>0.3103448275861922</v>
      </c>
    </row>
    <row r="49" spans="4:6" x14ac:dyDescent="0.35">
      <c r="D49">
        <v>23</v>
      </c>
      <c r="E49">
        <v>87.773399014778335</v>
      </c>
      <c r="F49">
        <v>0.2266009852216655</v>
      </c>
    </row>
    <row r="50" spans="4:6" x14ac:dyDescent="0.35">
      <c r="D50">
        <v>24</v>
      </c>
      <c r="E50">
        <v>89.857142857142861</v>
      </c>
      <c r="F50">
        <v>0.1428571428571388</v>
      </c>
    </row>
    <row r="51" spans="4:6" x14ac:dyDescent="0.35">
      <c r="D51">
        <v>25</v>
      </c>
      <c r="E51">
        <v>91.940886699507402</v>
      </c>
      <c r="F51">
        <v>-0.94088669950740211</v>
      </c>
    </row>
    <row r="52" spans="4:6" x14ac:dyDescent="0.35">
      <c r="D52">
        <v>26</v>
      </c>
      <c r="E52">
        <v>94.024630541871943</v>
      </c>
      <c r="F52">
        <v>-1.024630541871943</v>
      </c>
    </row>
    <row r="53" spans="4:6" x14ac:dyDescent="0.35">
      <c r="D53">
        <v>27</v>
      </c>
      <c r="E53">
        <v>96.10837438423647</v>
      </c>
      <c r="F53">
        <v>-1.1083743842364697</v>
      </c>
    </row>
    <row r="54" spans="4:6" x14ac:dyDescent="0.35">
      <c r="D54">
        <v>28</v>
      </c>
      <c r="E54">
        <v>98.192118226600996</v>
      </c>
      <c r="F54">
        <v>-2.1921182266009964</v>
      </c>
    </row>
    <row r="55" spans="4:6" ht="15" thickBot="1" x14ac:dyDescent="0.4">
      <c r="D55" s="7">
        <v>29</v>
      </c>
      <c r="E55" s="7">
        <v>100.27586206896554</v>
      </c>
      <c r="F55" s="7">
        <v>-2.2758620689655373</v>
      </c>
    </row>
    <row r="56" spans="4:6" x14ac:dyDescent="0.35">
      <c r="D56">
        <v>28</v>
      </c>
      <c r="E56">
        <v>96.33770856507229</v>
      </c>
      <c r="F56">
        <v>-1.3377085650722904</v>
      </c>
    </row>
    <row r="57" spans="4:6" x14ac:dyDescent="0.35">
      <c r="D57">
        <v>29</v>
      </c>
      <c r="E57">
        <v>98.452725250278093</v>
      </c>
      <c r="F57">
        <v>-2.4527252502780925</v>
      </c>
    </row>
    <row r="58" spans="4:6" ht="15" thickBot="1" x14ac:dyDescent="0.4">
      <c r="D58" s="7">
        <v>30</v>
      </c>
      <c r="E58" s="7">
        <v>100.56774193548387</v>
      </c>
      <c r="F58" s="7">
        <v>-2.5677419354838662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GUPTA</dc:creator>
  <cp:lastModifiedBy>ARYA GUPTA</cp:lastModifiedBy>
  <dcterms:created xsi:type="dcterms:W3CDTF">2026-01-20T20:16:54Z</dcterms:created>
  <dcterms:modified xsi:type="dcterms:W3CDTF">2026-01-22T05:51:02Z</dcterms:modified>
</cp:coreProperties>
</file>