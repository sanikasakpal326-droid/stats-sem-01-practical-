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78d47f1b723811b/Documents/"/>
    </mc:Choice>
  </mc:AlternateContent>
  <xr:revisionPtr revIDLastSave="2" documentId="8_{8B75C1AF-1F73-4182-AAB8-91203697A334}" xr6:coauthVersionLast="47" xr6:coauthVersionMax="47" xr10:uidLastSave="{943D9B97-7C77-4034-A02F-FADBEE634BFA}"/>
  <bookViews>
    <workbookView xWindow="-110" yWindow="-110" windowWidth="19420" windowHeight="11020" activeTab="3" xr2:uid="{7F4B9F32-A71D-4880-B465-6AE8D9B65F03}"/>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4" l="1"/>
  <c r="L8" i="4"/>
  <c r="L7" i="4"/>
  <c r="L6" i="4"/>
  <c r="H9" i="4"/>
  <c r="H8" i="4"/>
  <c r="H7" i="4"/>
  <c r="H6" i="4"/>
  <c r="F12" i="3"/>
  <c r="F11" i="3"/>
  <c r="F10" i="3"/>
  <c r="F9" i="3"/>
  <c r="F8" i="3"/>
  <c r="F7" i="3"/>
  <c r="F6" i="3"/>
  <c r="F5" i="3"/>
  <c r="F4" i="3"/>
  <c r="H35" i="1"/>
  <c r="C35" i="1"/>
  <c r="L24" i="1"/>
  <c r="I24" i="1"/>
  <c r="F24" i="1"/>
  <c r="C24" i="1"/>
  <c r="K5" i="1"/>
  <c r="G5" i="1"/>
  <c r="C5" i="1"/>
</calcChain>
</file>

<file path=xl/sharedStrings.xml><?xml version="1.0" encoding="utf-8"?>
<sst xmlns="http://schemas.openxmlformats.org/spreadsheetml/2006/main" count="130" uniqueCount="84">
  <si>
    <t xml:space="preserve">Question 1 </t>
  </si>
  <si>
    <t>EX,</t>
  </si>
  <si>
    <t>ANS</t>
  </si>
  <si>
    <t xml:space="preserve">Excel formula </t>
  </si>
  <si>
    <t>=AVERAGE(DATA)</t>
  </si>
  <si>
    <t>MEAN</t>
  </si>
  <si>
    <t>A)</t>
  </si>
  <si>
    <t>MEDIAN</t>
  </si>
  <si>
    <t>=MEDIAN(DATA)</t>
  </si>
  <si>
    <t>MODE</t>
  </si>
  <si>
    <t>B)</t>
  </si>
  <si>
    <t>A (Data Values)</t>
  </si>
  <si>
    <t xml:space="preserve">Excel formal </t>
  </si>
  <si>
    <t>=MODE.SNGL(DATA)</t>
  </si>
  <si>
    <t>MINIMUM</t>
  </si>
  <si>
    <t>ANS,</t>
  </si>
  <si>
    <t>=MIN(DATA)</t>
  </si>
  <si>
    <t>MAX</t>
  </si>
  <si>
    <t>=MAX(DATA)</t>
  </si>
  <si>
    <t>RANGE</t>
  </si>
  <si>
    <t>=MAX(DATA)-MIN(DATA)</t>
  </si>
  <si>
    <t>MID-RANGE</t>
  </si>
  <si>
    <t>=MAX(DATA)-MIN(DATA)/2</t>
  </si>
  <si>
    <t>C)</t>
  </si>
  <si>
    <t>POPULATION VARIANCE</t>
  </si>
  <si>
    <t xml:space="preserve">POPULATION STANDARD DEVIATION </t>
  </si>
  <si>
    <t>=VAR.P(DATA)</t>
  </si>
  <si>
    <t>=STDEV.P(DATA)</t>
  </si>
  <si>
    <t>Measure</t>
  </si>
  <si>
    <t>Mean</t>
  </si>
  <si>
    <t>Median</t>
  </si>
  <si>
    <t>Mode</t>
  </si>
  <si>
    <t>Minimum</t>
  </si>
  <si>
    <t>Maximum</t>
  </si>
  <si>
    <t>Range</t>
  </si>
  <si>
    <t>Mid-Range</t>
  </si>
  <si>
    <t>Population Variance</t>
  </si>
  <si>
    <t>Population Std Dev</t>
  </si>
  <si>
    <t>Q.2)</t>
  </si>
  <si>
    <t>Excel Command Syntax</t>
  </si>
  <si>
    <t>Explanation</t>
  </si>
  <si>
    <t>Returns the arithmetic mean of the data</t>
  </si>
  <si>
    <t>Returns the middle value of the dataset</t>
  </si>
  <si>
    <t>Returns the most frequently occurring value</t>
  </si>
  <si>
    <t>Returns the smallest value in the dataset</t>
  </si>
  <si>
    <t>Returns the largest value in the dataset</t>
  </si>
  <si>
    <t>Returns the difference between max and min</t>
  </si>
  <si>
    <t>Returns the average of max and min</t>
  </si>
  <si>
    <t>Calculates variance for population data</t>
  </si>
  <si>
    <t>Calculates standard deviation for population data</t>
  </si>
  <si>
    <t>=AVERAGE(RANGE)</t>
  </si>
  <si>
    <t>=MEDIAN(range)</t>
  </si>
  <si>
    <t>=MODE.SNGL(range)</t>
  </si>
  <si>
    <t>=MIN(range)</t>
  </si>
  <si>
    <t>=MAX(range)</t>
  </si>
  <si>
    <t>=MAX(range)-MIN(range)</t>
  </si>
  <si>
    <t>=(MAX(range)+MIN(range))/2</t>
  </si>
  <si>
    <t>=VAR.P(range)</t>
  </si>
  <si>
    <t>=STDEV.P(range)</t>
  </si>
  <si>
    <t>The syntax of Excel commands such as AVERAGE(), MEDIAN(), MODE.SNGL(), VAR.P(), and STDEV.P() is used to compute descriptive statistical measures efficiently for a given data range</t>
  </si>
  <si>
    <t>Q.3)Hypothetical_Data</t>
  </si>
  <si>
    <t>Observation Values</t>
  </si>
  <si>
    <t>Represents the average of the dataset values</t>
  </si>
  <si>
    <t>Indicates the central value of the ordered data</t>
  </si>
  <si>
    <t>Shows the most frequently occurring value</t>
  </si>
  <si>
    <t>Represents the lowest observation</t>
  </si>
  <si>
    <t>Represents the highest observation</t>
  </si>
  <si>
    <t>Shows the spread between highest and lowest values</t>
  </si>
  <si>
    <t>Represents the midpoint of the data range</t>
  </si>
  <si>
    <t>Measures the variability of data from the mean</t>
  </si>
  <si>
    <t>Shows average deviation from the mean</t>
  </si>
  <si>
    <t>A hypothetical dataset consisting of 15 observations was created to perform descriptive statistical analysis. Using Microsoft Excel, measures of central tendency,</t>
  </si>
  <si>
    <t>dispersion, and variability were computed using built-in statistical functions. This approach demonstrates the effective use of Excel for statistical estimation and data analysis.</t>
  </si>
  <si>
    <r>
      <t xml:space="preserve">Populations for towns and cities of 5000 or more in the 42XXXX zip code area are given for </t>
    </r>
    <r>
      <rPr>
        <b/>
        <sz val="11"/>
        <color theme="1"/>
        <rFont val="Aptos Narrow"/>
        <family val="2"/>
        <scheme val="minor"/>
      </rPr>
      <t>two different years (1990 and 2004)</t>
    </r>
    <r>
      <rPr>
        <sz val="11"/>
        <color theme="1"/>
        <rFont val="Aptos Narrow"/>
        <family val="2"/>
        <scheme val="minor"/>
      </rPr>
      <t>.</t>
    </r>
  </si>
  <si>
    <r>
      <t xml:space="preserve">Find the </t>
    </r>
    <r>
      <rPr>
        <b/>
        <sz val="11"/>
        <color theme="1"/>
        <rFont val="Aptos Narrow"/>
        <family val="2"/>
        <scheme val="minor"/>
      </rPr>
      <t>mean, median, mode, and mid-range</t>
    </r>
    <r>
      <rPr>
        <sz val="11"/>
        <color theme="1"/>
        <rFont val="Aptos Narrow"/>
        <family val="2"/>
        <scheme val="minor"/>
      </rPr>
      <t xml:space="preserve"> for each year and </t>
    </r>
    <r>
      <rPr>
        <b/>
        <sz val="11"/>
        <color theme="1"/>
        <rFont val="Aptos Narrow"/>
        <family val="2"/>
        <scheme val="minor"/>
      </rPr>
      <t>interpret the results</t>
    </r>
    <r>
      <rPr>
        <sz val="11"/>
        <color theme="1"/>
        <rFont val="Aptos Narrow"/>
        <family val="2"/>
        <scheme val="minor"/>
      </rPr>
      <t>.</t>
    </r>
  </si>
  <si>
    <t>2004 DATA</t>
  </si>
  <si>
    <t>1990 DATA</t>
  </si>
  <si>
    <t>MEASURE(2004)</t>
  </si>
  <si>
    <t>MEASURE(1990)</t>
  </si>
  <si>
    <t>FINDING SUGGEST?</t>
  </si>
  <si>
    <t>The mean and median population values for 1990 are higher than those for 2004, indicating that towns and cities in the 42XXXX zip code area generally had larger populations in 1990. The mid-range for 1990 is</t>
  </si>
  <si>
    <t>also significantly higher due to the presence of a very large city, which increases the maximum value. The absence of a mode in both years suggests that</t>
  </si>
  <si>
    <t>population values are well distributed without repetition. Overall, the findings suggest a decline or redistribution of population by 2004.</t>
  </si>
  <si>
    <t>Descriptive statistics reveal that population figures were generally higher in 1990 compared to 2004, with greater variability observed in 1990 due to extreme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</si>
</sst>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quotePrefix="1"/>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xf>
    <xf numFmtId="0" fontId="1" fillId="0" borderId="0" xfId="0" applyFont="1"/>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1921E-0B92-4CF1-A919-2DE374091454}">
  <dimension ref="A1:L39"/>
  <sheetViews>
    <sheetView workbookViewId="0">
      <selection activeCell="H40" sqref="H40"/>
    </sheetView>
  </sheetViews>
  <sheetFormatPr defaultRowHeight="14.5" x14ac:dyDescent="0.35"/>
  <sheetData>
    <row r="1" spans="1:11" x14ac:dyDescent="0.35">
      <c r="A1" t="s">
        <v>0</v>
      </c>
    </row>
    <row r="2" spans="1:11" x14ac:dyDescent="0.35">
      <c r="A2" t="s">
        <v>6</v>
      </c>
    </row>
    <row r="3" spans="1:11" x14ac:dyDescent="0.35">
      <c r="A3" t="s">
        <v>5</v>
      </c>
      <c r="C3" t="s">
        <v>2</v>
      </c>
      <c r="E3" t="s">
        <v>7</v>
      </c>
      <c r="G3" t="s">
        <v>2</v>
      </c>
      <c r="I3" t="s">
        <v>9</v>
      </c>
      <c r="K3" t="s">
        <v>2</v>
      </c>
    </row>
    <row r="4" spans="1:11" x14ac:dyDescent="0.35">
      <c r="A4" t="s">
        <v>1</v>
      </c>
      <c r="E4" t="s">
        <v>1</v>
      </c>
      <c r="I4" t="s">
        <v>1</v>
      </c>
    </row>
    <row r="5" spans="1:11" x14ac:dyDescent="0.35">
      <c r="A5">
        <v>12</v>
      </c>
      <c r="C5">
        <f>AVERAGE(A5:A12)</f>
        <v>50.5</v>
      </c>
      <c r="E5">
        <v>12</v>
      </c>
      <c r="G5">
        <f>MEDIAN(E5:E12)</f>
        <v>50.5</v>
      </c>
      <c r="I5">
        <v>12</v>
      </c>
      <c r="K5" t="e">
        <f>_xlfn.MODE.SNGL(I5:I12)</f>
        <v>#N/A</v>
      </c>
    </row>
    <row r="6" spans="1:11" x14ac:dyDescent="0.35">
      <c r="A6">
        <v>23</v>
      </c>
      <c r="E6">
        <v>23</v>
      </c>
      <c r="I6">
        <v>23</v>
      </c>
    </row>
    <row r="7" spans="1:11" x14ac:dyDescent="0.35">
      <c r="A7">
        <v>34</v>
      </c>
      <c r="E7">
        <v>34</v>
      </c>
      <c r="I7">
        <v>34</v>
      </c>
    </row>
    <row r="8" spans="1:11" x14ac:dyDescent="0.35">
      <c r="A8">
        <v>45</v>
      </c>
      <c r="E8">
        <v>45</v>
      </c>
      <c r="I8">
        <v>45</v>
      </c>
    </row>
    <row r="9" spans="1:11" x14ac:dyDescent="0.35">
      <c r="A9">
        <v>56</v>
      </c>
      <c r="E9">
        <v>56</v>
      </c>
      <c r="I9">
        <v>56</v>
      </c>
    </row>
    <row r="10" spans="1:11" x14ac:dyDescent="0.35">
      <c r="A10">
        <v>67</v>
      </c>
      <c r="E10">
        <v>67</v>
      </c>
      <c r="I10">
        <v>67</v>
      </c>
    </row>
    <row r="11" spans="1:11" x14ac:dyDescent="0.35">
      <c r="A11">
        <v>78</v>
      </c>
      <c r="E11">
        <v>78</v>
      </c>
      <c r="I11">
        <v>78</v>
      </c>
    </row>
    <row r="12" spans="1:11" x14ac:dyDescent="0.35">
      <c r="A12">
        <v>89</v>
      </c>
      <c r="E12">
        <v>89</v>
      </c>
      <c r="I12">
        <v>89</v>
      </c>
    </row>
    <row r="14" spans="1:11" x14ac:dyDescent="0.35">
      <c r="A14" t="s">
        <v>3</v>
      </c>
      <c r="E14" t="s">
        <v>3</v>
      </c>
      <c r="I14" t="s">
        <v>12</v>
      </c>
    </row>
    <row r="15" spans="1:11" x14ac:dyDescent="0.35">
      <c r="A15" s="1" t="s">
        <v>4</v>
      </c>
      <c r="E15" s="1" t="s">
        <v>8</v>
      </c>
      <c r="I15" s="1" t="s">
        <v>13</v>
      </c>
    </row>
    <row r="18" spans="1:12" x14ac:dyDescent="0.35">
      <c r="A18" t="s">
        <v>10</v>
      </c>
    </row>
    <row r="19" spans="1:12" x14ac:dyDescent="0.35">
      <c r="A19" t="s">
        <v>1</v>
      </c>
    </row>
    <row r="21" spans="1:12" ht="29" x14ac:dyDescent="0.35">
      <c r="A21" s="2" t="s">
        <v>11</v>
      </c>
      <c r="B21" s="2"/>
    </row>
    <row r="22" spans="1:12" x14ac:dyDescent="0.35">
      <c r="A22" s="3">
        <v>10</v>
      </c>
      <c r="C22" t="s">
        <v>14</v>
      </c>
      <c r="F22" t="s">
        <v>17</v>
      </c>
      <c r="I22" t="s">
        <v>19</v>
      </c>
      <c r="L22" t="s">
        <v>21</v>
      </c>
    </row>
    <row r="23" spans="1:12" x14ac:dyDescent="0.35">
      <c r="A23" s="3">
        <v>12</v>
      </c>
      <c r="C23" t="s">
        <v>15</v>
      </c>
      <c r="F23" t="s">
        <v>15</v>
      </c>
      <c r="I23" t="s">
        <v>15</v>
      </c>
      <c r="L23" t="s">
        <v>15</v>
      </c>
    </row>
    <row r="24" spans="1:12" x14ac:dyDescent="0.35">
      <c r="A24" s="3">
        <v>15</v>
      </c>
      <c r="C24">
        <f>MIN(A22:A27)</f>
        <v>10</v>
      </c>
      <c r="F24">
        <f>MAX(A22:A27)</f>
        <v>20</v>
      </c>
      <c r="I24">
        <f>MAX(A22:A27)-MIN(A22:A27)</f>
        <v>10</v>
      </c>
      <c r="L24" s="1">
        <f>MAX(A22:A27)-MIN(A22:A27)/2</f>
        <v>15</v>
      </c>
    </row>
    <row r="25" spans="1:12" x14ac:dyDescent="0.35">
      <c r="A25" s="3">
        <v>16</v>
      </c>
    </row>
    <row r="26" spans="1:12" x14ac:dyDescent="0.35">
      <c r="A26" s="3">
        <v>18</v>
      </c>
      <c r="C26" t="s">
        <v>3</v>
      </c>
      <c r="F26" t="s">
        <v>3</v>
      </c>
      <c r="I26" t="s">
        <v>3</v>
      </c>
      <c r="L26" t="s">
        <v>3</v>
      </c>
    </row>
    <row r="27" spans="1:12" x14ac:dyDescent="0.35">
      <c r="A27" s="3">
        <v>20</v>
      </c>
      <c r="C27" s="1" t="s">
        <v>16</v>
      </c>
      <c r="F27" s="1" t="s">
        <v>18</v>
      </c>
      <c r="I27" s="1" t="s">
        <v>20</v>
      </c>
      <c r="L27" s="1" t="s">
        <v>22</v>
      </c>
    </row>
    <row r="30" spans="1:12" x14ac:dyDescent="0.35">
      <c r="A30" t="s">
        <v>23</v>
      </c>
    </row>
    <row r="32" spans="1:12" ht="29" x14ac:dyDescent="0.35">
      <c r="A32" s="2" t="s">
        <v>11</v>
      </c>
    </row>
    <row r="33" spans="1:8" ht="23.5" x14ac:dyDescent="0.35">
      <c r="C33" t="s">
        <v>24</v>
      </c>
      <c r="G33" s="4"/>
      <c r="H33" t="s">
        <v>25</v>
      </c>
    </row>
    <row r="34" spans="1:8" x14ac:dyDescent="0.35">
      <c r="A34">
        <v>10</v>
      </c>
      <c r="C34" t="s">
        <v>15</v>
      </c>
      <c r="H34" t="s">
        <v>15</v>
      </c>
    </row>
    <row r="35" spans="1:8" x14ac:dyDescent="0.35">
      <c r="A35">
        <v>36</v>
      </c>
      <c r="C35">
        <f>_xlfn.VAR.P(A34:A39)</f>
        <v>462.58333333333331</v>
      </c>
      <c r="H35">
        <f>_xlfn.STDEV.P(A34:A39)</f>
        <v>21.507750540987157</v>
      </c>
    </row>
    <row r="36" spans="1:8" x14ac:dyDescent="0.35">
      <c r="A36">
        <v>57</v>
      </c>
    </row>
    <row r="37" spans="1:8" x14ac:dyDescent="0.35">
      <c r="A37">
        <v>30</v>
      </c>
    </row>
    <row r="38" spans="1:8" x14ac:dyDescent="0.35">
      <c r="A38">
        <v>50</v>
      </c>
      <c r="C38" t="s">
        <v>3</v>
      </c>
      <c r="H38" t="s">
        <v>3</v>
      </c>
    </row>
    <row r="39" spans="1:8" x14ac:dyDescent="0.35">
      <c r="A39">
        <v>78</v>
      </c>
      <c r="C39" s="1" t="s">
        <v>26</v>
      </c>
      <c r="H39" s="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65D1-6C0C-47E2-8981-F8DD4A180F79}">
  <dimension ref="A1:C15"/>
  <sheetViews>
    <sheetView workbookViewId="0">
      <selection activeCell="B4" sqref="B4"/>
    </sheetView>
  </sheetViews>
  <sheetFormatPr defaultRowHeight="14.5" x14ac:dyDescent="0.35"/>
  <cols>
    <col min="1" max="1" width="20.1796875" customWidth="1"/>
    <col min="2" max="2" width="26.26953125" customWidth="1"/>
    <col min="3" max="3" width="54.1796875" customWidth="1"/>
  </cols>
  <sheetData>
    <row r="1" spans="1:3" x14ac:dyDescent="0.35">
      <c r="A1" t="s">
        <v>38</v>
      </c>
    </row>
    <row r="3" spans="1:3" x14ac:dyDescent="0.35">
      <c r="A3" t="s">
        <v>28</v>
      </c>
      <c r="B3" t="s">
        <v>39</v>
      </c>
      <c r="C3" t="s">
        <v>40</v>
      </c>
    </row>
    <row r="4" spans="1:3" x14ac:dyDescent="0.35">
      <c r="A4" t="s">
        <v>29</v>
      </c>
      <c r="B4" s="1" t="s">
        <v>50</v>
      </c>
      <c r="C4" t="s">
        <v>41</v>
      </c>
    </row>
    <row r="5" spans="1:3" x14ac:dyDescent="0.35">
      <c r="A5" t="s">
        <v>30</v>
      </c>
      <c r="B5" s="1" t="s">
        <v>51</v>
      </c>
      <c r="C5" t="s">
        <v>42</v>
      </c>
    </row>
    <row r="6" spans="1:3" x14ac:dyDescent="0.35">
      <c r="A6" t="s">
        <v>31</v>
      </c>
      <c r="B6" s="1" t="s">
        <v>52</v>
      </c>
      <c r="C6" t="s">
        <v>43</v>
      </c>
    </row>
    <row r="7" spans="1:3" x14ac:dyDescent="0.35">
      <c r="A7" t="s">
        <v>32</v>
      </c>
      <c r="B7" s="1" t="s">
        <v>53</v>
      </c>
      <c r="C7" t="s">
        <v>44</v>
      </c>
    </row>
    <row r="8" spans="1:3" x14ac:dyDescent="0.35">
      <c r="A8" t="s">
        <v>33</v>
      </c>
      <c r="B8" s="1" t="s">
        <v>54</v>
      </c>
      <c r="C8" t="s">
        <v>45</v>
      </c>
    </row>
    <row r="9" spans="1:3" x14ac:dyDescent="0.35">
      <c r="A9" t="s">
        <v>34</v>
      </c>
      <c r="B9" s="1" t="s">
        <v>55</v>
      </c>
      <c r="C9" t="s">
        <v>46</v>
      </c>
    </row>
    <row r="10" spans="1:3" x14ac:dyDescent="0.35">
      <c r="A10" t="s">
        <v>35</v>
      </c>
      <c r="B10" s="1" t="s">
        <v>56</v>
      </c>
      <c r="C10" t="s">
        <v>47</v>
      </c>
    </row>
    <row r="11" spans="1:3" x14ac:dyDescent="0.35">
      <c r="A11" t="s">
        <v>36</v>
      </c>
      <c r="B11" s="1" t="s">
        <v>57</v>
      </c>
      <c r="C11" t="s">
        <v>48</v>
      </c>
    </row>
    <row r="12" spans="1:3" x14ac:dyDescent="0.35">
      <c r="A12" t="s">
        <v>37</v>
      </c>
      <c r="B12" s="1" t="s">
        <v>58</v>
      </c>
      <c r="C12" t="s">
        <v>49</v>
      </c>
    </row>
    <row r="15" spans="1:3" x14ac:dyDescent="0.35">
      <c r="A15"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7522A-9E57-440B-B796-5DDA9C7C1DD4}">
  <dimension ref="A1:J21"/>
  <sheetViews>
    <sheetView zoomScale="86" workbookViewId="0">
      <selection activeCell="A21" sqref="A21"/>
    </sheetView>
  </sheetViews>
  <sheetFormatPr defaultRowHeight="14.5" x14ac:dyDescent="0.35"/>
  <cols>
    <col min="9" max="9" width="18.81640625" customWidth="1"/>
  </cols>
  <sheetData>
    <row r="1" spans="1:10" x14ac:dyDescent="0.35">
      <c r="A1" s="5" t="s">
        <v>60</v>
      </c>
    </row>
    <row r="3" spans="1:10" x14ac:dyDescent="0.35">
      <c r="A3" s="5" t="s">
        <v>61</v>
      </c>
      <c r="D3" s="5" t="s">
        <v>28</v>
      </c>
      <c r="I3" s="5" t="s">
        <v>28</v>
      </c>
    </row>
    <row r="4" spans="1:10" x14ac:dyDescent="0.35">
      <c r="A4">
        <v>22</v>
      </c>
      <c r="D4" t="s">
        <v>29</v>
      </c>
      <c r="F4">
        <f>AVERAGE(A4:A19)</f>
        <v>35.4</v>
      </c>
      <c r="I4" s="5" t="s">
        <v>29</v>
      </c>
      <c r="J4" t="s">
        <v>62</v>
      </c>
    </row>
    <row r="5" spans="1:10" x14ac:dyDescent="0.35">
      <c r="A5">
        <v>25</v>
      </c>
      <c r="D5" t="s">
        <v>30</v>
      </c>
      <c r="F5">
        <f>MEDIAN(A4:A18)</f>
        <v>35</v>
      </c>
      <c r="I5" s="5" t="s">
        <v>30</v>
      </c>
      <c r="J5" t="s">
        <v>63</v>
      </c>
    </row>
    <row r="6" spans="1:10" x14ac:dyDescent="0.35">
      <c r="A6">
        <v>27</v>
      </c>
      <c r="D6" t="s">
        <v>31</v>
      </c>
      <c r="F6">
        <f>MODE(A4:A18)</f>
        <v>35</v>
      </c>
      <c r="I6" s="5" t="s">
        <v>31</v>
      </c>
      <c r="J6" t="s">
        <v>64</v>
      </c>
    </row>
    <row r="7" spans="1:10" x14ac:dyDescent="0.35">
      <c r="A7">
        <v>27</v>
      </c>
      <c r="D7" t="s">
        <v>32</v>
      </c>
      <c r="F7">
        <f>MIN(A4:A18)</f>
        <v>22</v>
      </c>
      <c r="I7" s="5" t="s">
        <v>32</v>
      </c>
      <c r="J7" t="s">
        <v>65</v>
      </c>
    </row>
    <row r="8" spans="1:10" x14ac:dyDescent="0.35">
      <c r="A8">
        <v>30</v>
      </c>
      <c r="D8" t="s">
        <v>33</v>
      </c>
      <c r="F8">
        <f>MAX(A4:A18)</f>
        <v>50</v>
      </c>
      <c r="I8" s="5" t="s">
        <v>33</v>
      </c>
      <c r="J8" t="s">
        <v>66</v>
      </c>
    </row>
    <row r="9" spans="1:10" x14ac:dyDescent="0.35">
      <c r="A9">
        <v>32</v>
      </c>
      <c r="D9" t="s">
        <v>34</v>
      </c>
      <c r="F9">
        <f>MAX(A4:A18)-MIN(A4:A18)</f>
        <v>28</v>
      </c>
      <c r="I9" s="5" t="s">
        <v>34</v>
      </c>
      <c r="J9" t="s">
        <v>67</v>
      </c>
    </row>
    <row r="10" spans="1:10" x14ac:dyDescent="0.35">
      <c r="A10">
        <v>35</v>
      </c>
      <c r="D10" t="s">
        <v>35</v>
      </c>
      <c r="F10">
        <f>MAX(A4:A18)-MIN(A4:A18)/2</f>
        <v>39</v>
      </c>
      <c r="I10" s="5" t="s">
        <v>35</v>
      </c>
      <c r="J10" t="s">
        <v>68</v>
      </c>
    </row>
    <row r="11" spans="1:10" x14ac:dyDescent="0.35">
      <c r="A11">
        <v>35</v>
      </c>
      <c r="D11" t="s">
        <v>36</v>
      </c>
      <c r="F11">
        <f>_xlfn.VAR.P(A4:A18)</f>
        <v>67.040000000000006</v>
      </c>
      <c r="I11" s="5" t="s">
        <v>36</v>
      </c>
      <c r="J11" t="s">
        <v>69</v>
      </c>
    </row>
    <row r="12" spans="1:10" x14ac:dyDescent="0.35">
      <c r="A12">
        <v>35</v>
      </c>
      <c r="D12" t="s">
        <v>37</v>
      </c>
      <c r="F12">
        <f>_xlfn.STDEV.P(A4:A18)</f>
        <v>8.1877957961834884</v>
      </c>
      <c r="I12" s="5" t="s">
        <v>37</v>
      </c>
      <c r="J12" t="s">
        <v>70</v>
      </c>
    </row>
    <row r="13" spans="1:10" x14ac:dyDescent="0.35">
      <c r="A13">
        <v>38</v>
      </c>
      <c r="I13" s="5"/>
    </row>
    <row r="14" spans="1:10" x14ac:dyDescent="0.35">
      <c r="A14">
        <v>40</v>
      </c>
    </row>
    <row r="15" spans="1:10" x14ac:dyDescent="0.35">
      <c r="A15">
        <v>42</v>
      </c>
    </row>
    <row r="16" spans="1:10" x14ac:dyDescent="0.35">
      <c r="A16">
        <v>45</v>
      </c>
    </row>
    <row r="17" spans="1:1" x14ac:dyDescent="0.35">
      <c r="A17">
        <v>48</v>
      </c>
    </row>
    <row r="18" spans="1:1" x14ac:dyDescent="0.35">
      <c r="A18">
        <v>50</v>
      </c>
    </row>
    <row r="20" spans="1:1" x14ac:dyDescent="0.35">
      <c r="A20" t="s">
        <v>71</v>
      </c>
    </row>
    <row r="21" spans="1:1" x14ac:dyDescent="0.35">
      <c r="A21"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1FFA-4594-4CEA-87B7-B43B865753E8}">
  <dimension ref="A1:L37"/>
  <sheetViews>
    <sheetView tabSelected="1" zoomScale="105" workbookViewId="0">
      <selection activeCell="P33" sqref="P33"/>
    </sheetView>
  </sheetViews>
  <sheetFormatPr defaultRowHeight="14.5" x14ac:dyDescent="0.35"/>
  <cols>
    <col min="1" max="1" width="11.1796875" customWidth="1"/>
    <col min="3" max="3" width="10.90625" customWidth="1"/>
  </cols>
  <sheetData>
    <row r="1" spans="1:12" x14ac:dyDescent="0.35">
      <c r="A1" t="s">
        <v>73</v>
      </c>
    </row>
    <row r="2" spans="1:12" x14ac:dyDescent="0.35">
      <c r="A2" t="s">
        <v>74</v>
      </c>
    </row>
    <row r="4" spans="1:12" x14ac:dyDescent="0.35">
      <c r="A4" s="5" t="s">
        <v>75</v>
      </c>
      <c r="C4" s="5" t="s">
        <v>76</v>
      </c>
      <c r="F4" s="5" t="s">
        <v>77</v>
      </c>
      <c r="J4" s="5" t="s">
        <v>78</v>
      </c>
    </row>
    <row r="6" spans="1:12" x14ac:dyDescent="0.35">
      <c r="A6">
        <v>11270</v>
      </c>
      <c r="C6">
        <v>13374</v>
      </c>
      <c r="F6" t="s">
        <v>5</v>
      </c>
      <c r="H6">
        <f>AVERAGE(A6:A29)</f>
        <v>8421.1666666666661</v>
      </c>
      <c r="J6" t="s">
        <v>5</v>
      </c>
      <c r="L6">
        <f>AVERAGE(C6:C29)</f>
        <v>9810</v>
      </c>
    </row>
    <row r="7" spans="1:12" x14ac:dyDescent="0.35">
      <c r="A7">
        <v>8825</v>
      </c>
      <c r="C7">
        <v>9200</v>
      </c>
      <c r="F7" t="s">
        <v>7</v>
      </c>
      <c r="H7">
        <f>MEDIAN(A6:A29)</f>
        <v>8197</v>
      </c>
      <c r="J7" t="s">
        <v>7</v>
      </c>
      <c r="L7">
        <f>MEDIAN(C6:C29)</f>
        <v>9214.5</v>
      </c>
    </row>
    <row r="8" spans="1:12" x14ac:dyDescent="0.35">
      <c r="A8">
        <v>7439</v>
      </c>
      <c r="C8">
        <v>8133</v>
      </c>
      <c r="F8" t="s">
        <v>9</v>
      </c>
      <c r="H8" t="e">
        <f>MODE(A6:A29)</f>
        <v>#N/A</v>
      </c>
      <c r="J8" t="s">
        <v>9</v>
      </c>
      <c r="L8" t="e">
        <f>MODE(C6:C29)</f>
        <v>#N/A</v>
      </c>
    </row>
    <row r="9" spans="1:12" x14ac:dyDescent="0.35">
      <c r="A9">
        <v>8220</v>
      </c>
      <c r="C9">
        <v>9278</v>
      </c>
      <c r="F9" t="s">
        <v>21</v>
      </c>
      <c r="H9">
        <f>MAX(A6:A29)-MIN(A6:A29)/2</f>
        <v>12403</v>
      </c>
      <c r="J9" t="s">
        <v>21</v>
      </c>
      <c r="L9">
        <f>MAX(C6:C29)-MIN(C6:C29)/2</f>
        <v>19539</v>
      </c>
    </row>
    <row r="10" spans="1:12" x14ac:dyDescent="0.35">
      <c r="A10">
        <v>5132</v>
      </c>
      <c r="C10">
        <v>4768</v>
      </c>
    </row>
    <row r="11" spans="1:12" x14ac:dyDescent="0.35">
      <c r="A11">
        <v>8395</v>
      </c>
      <c r="C11">
        <v>9135</v>
      </c>
    </row>
    <row r="12" spans="1:12" x14ac:dyDescent="0.35">
      <c r="A12">
        <v>5463</v>
      </c>
      <c r="C12">
        <v>6113</v>
      </c>
    </row>
    <row r="13" spans="1:12" x14ac:dyDescent="0.35">
      <c r="A13">
        <v>8174</v>
      </c>
      <c r="C13">
        <v>9656</v>
      </c>
    </row>
    <row r="14" spans="1:12" x14ac:dyDescent="0.35">
      <c r="A14">
        <v>5044</v>
      </c>
      <c r="C14">
        <v>5784</v>
      </c>
    </row>
    <row r="15" spans="1:12" x14ac:dyDescent="0.35">
      <c r="A15">
        <v>8739</v>
      </c>
      <c r="C15">
        <v>9229</v>
      </c>
    </row>
    <row r="16" spans="1:12" x14ac:dyDescent="0.35">
      <c r="A16">
        <v>5282</v>
      </c>
      <c r="C16">
        <v>21923</v>
      </c>
    </row>
    <row r="17" spans="1:3" x14ac:dyDescent="0.35">
      <c r="A17">
        <v>7869</v>
      </c>
      <c r="C17">
        <v>8286</v>
      </c>
    </row>
    <row r="18" spans="1:3" x14ac:dyDescent="0.35">
      <c r="A18">
        <v>6199</v>
      </c>
      <c r="C18">
        <v>10687</v>
      </c>
    </row>
    <row r="19" spans="1:3" x14ac:dyDescent="0.35">
      <c r="A19">
        <v>5307</v>
      </c>
      <c r="C19">
        <v>5319</v>
      </c>
    </row>
    <row r="20" spans="1:3" x14ac:dyDescent="0.35">
      <c r="A20">
        <v>10493</v>
      </c>
      <c r="C20">
        <v>9126</v>
      </c>
    </row>
    <row r="21" spans="1:3" x14ac:dyDescent="0.35">
      <c r="A21">
        <v>10309</v>
      </c>
      <c r="C21">
        <v>11221</v>
      </c>
    </row>
    <row r="22" spans="1:3" x14ac:dyDescent="0.35">
      <c r="A22">
        <v>14925</v>
      </c>
      <c r="C22">
        <v>15174</v>
      </c>
    </row>
    <row r="23" spans="1:3" x14ac:dyDescent="0.35">
      <c r="A23">
        <v>8397</v>
      </c>
      <c r="C23">
        <v>9901</v>
      </c>
    </row>
    <row r="24" spans="1:3" x14ac:dyDescent="0.35">
      <c r="A24">
        <v>9964</v>
      </c>
      <c r="C24">
        <v>10823</v>
      </c>
    </row>
    <row r="25" spans="1:3" x14ac:dyDescent="0.35">
      <c r="A25">
        <v>14849</v>
      </c>
      <c r="C25">
        <v>15864</v>
      </c>
    </row>
    <row r="26" spans="1:3" x14ac:dyDescent="0.35">
      <c r="A26">
        <v>5094</v>
      </c>
      <c r="C26">
        <v>5445</v>
      </c>
    </row>
    <row r="27" spans="1:3" x14ac:dyDescent="0.35">
      <c r="A27">
        <v>14340</v>
      </c>
      <c r="C27">
        <v>14292</v>
      </c>
    </row>
    <row r="28" spans="1:3" x14ac:dyDescent="0.35">
      <c r="A28">
        <v>5707</v>
      </c>
      <c r="C28">
        <v>5748</v>
      </c>
    </row>
    <row r="29" spans="1:3" x14ac:dyDescent="0.35">
      <c r="A29">
        <v>6672</v>
      </c>
      <c r="C29">
        <v>6961</v>
      </c>
    </row>
    <row r="32" spans="1:3" x14ac:dyDescent="0.35">
      <c r="A32" s="5" t="s">
        <v>79</v>
      </c>
    </row>
    <row r="33" spans="1:1" x14ac:dyDescent="0.35">
      <c r="A33" t="s">
        <v>80</v>
      </c>
    </row>
    <row r="34" spans="1:1" x14ac:dyDescent="0.35">
      <c r="A34" t="s">
        <v>81</v>
      </c>
    </row>
    <row r="35" spans="1:1" x14ac:dyDescent="0.35">
      <c r="A35" s="6" t="s">
        <v>82</v>
      </c>
    </row>
    <row r="37" spans="1:1" x14ac:dyDescent="0.35">
      <c r="A37" s="6"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GUPTA</dc:creator>
  <cp:lastModifiedBy>ARYA GUPTA</cp:lastModifiedBy>
  <dcterms:created xsi:type="dcterms:W3CDTF">2026-01-15T04:19:23Z</dcterms:created>
  <dcterms:modified xsi:type="dcterms:W3CDTF">2026-01-22T04:56:30Z</dcterms:modified>
</cp:coreProperties>
</file>