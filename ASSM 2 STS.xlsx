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8d47f1b723811b/Documents/"/>
    </mc:Choice>
  </mc:AlternateContent>
  <xr:revisionPtr revIDLastSave="0" documentId="8_{BAC69726-ADEF-43CB-B6F7-65D1C37FB919}" xr6:coauthVersionLast="47" xr6:coauthVersionMax="47" xr10:uidLastSave="{00000000-0000-0000-0000-000000000000}"/>
  <bookViews>
    <workbookView xWindow="-110" yWindow="-110" windowWidth="19420" windowHeight="11020" activeTab="1" xr2:uid="{CF4CFBC4-38A1-43B8-B5F9-557B75A025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G11" i="2"/>
  <c r="G10" i="2"/>
  <c r="G9" i="2"/>
  <c r="G8" i="2"/>
  <c r="G7" i="2"/>
  <c r="G6" i="2"/>
  <c r="G5" i="2"/>
  <c r="G4" i="2"/>
  <c r="G12" i="2" s="1"/>
  <c r="C13" i="2" s="1"/>
  <c r="B14" i="1"/>
  <c r="C13" i="1"/>
  <c r="C12" i="1"/>
  <c r="C11" i="1"/>
  <c r="C10" i="1"/>
  <c r="C9" i="1"/>
  <c r="C8" i="1"/>
  <c r="C7" i="1"/>
  <c r="C6" i="1"/>
  <c r="C5" i="1"/>
  <c r="C4" i="1"/>
  <c r="C14" i="1" s="1"/>
  <c r="C15" i="1" s="1"/>
  <c r="D7" i="2" l="1"/>
  <c r="E7" i="2" s="1"/>
  <c r="F7" i="2" s="1"/>
  <c r="D9" i="2"/>
  <c r="E9" i="2" s="1"/>
  <c r="F9" i="2" s="1"/>
  <c r="D5" i="2"/>
  <c r="E5" i="2" s="1"/>
  <c r="F5" i="2" s="1"/>
  <c r="D6" i="2"/>
  <c r="E6" i="2" s="1"/>
  <c r="F6" i="2" s="1"/>
  <c r="D10" i="2"/>
  <c r="E10" i="2" s="1"/>
  <c r="F10" i="2" s="1"/>
  <c r="D11" i="2"/>
  <c r="E11" i="2" s="1"/>
  <c r="F11" i="2" s="1"/>
  <c r="D4" i="2"/>
  <c r="E4" i="2" s="1"/>
  <c r="F4" i="2" s="1"/>
  <c r="F12" i="2" s="1"/>
  <c r="F13" i="2" s="1"/>
  <c r="F14" i="2" s="1"/>
  <c r="D8" i="2"/>
  <c r="E8" i="2" s="1"/>
  <c r="F8" i="2" s="1"/>
  <c r="D4" i="1"/>
  <c r="E4" i="1" s="1"/>
  <c r="F4" i="1" s="1"/>
  <c r="D5" i="1"/>
  <c r="E5" i="1" s="1"/>
  <c r="F5" i="1" s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F14" i="1" l="1"/>
  <c r="F16" i="1" l="1"/>
  <c r="F18" i="1" s="1"/>
  <c r="F15" i="1"/>
  <c r="F17" i="1" s="1"/>
</calcChain>
</file>

<file path=xl/sharedStrings.xml><?xml version="1.0" encoding="utf-8"?>
<sst xmlns="http://schemas.openxmlformats.org/spreadsheetml/2006/main" count="30" uniqueCount="24">
  <si>
    <t>Q3) Create a hypothetical data set of 10 groups with their relative frequencies. Present the formulas for population variance, sample variance, population std.dev. and sample std.dev. Without using built-in formula in excel compute each of the estimates.</t>
  </si>
  <si>
    <t>x</t>
  </si>
  <si>
    <t>f</t>
  </si>
  <si>
    <t>fx</t>
  </si>
  <si>
    <t>x-mean</t>
  </si>
  <si>
    <t>(x-mean)^2</t>
  </si>
  <si>
    <t>f(x-mean)^2</t>
  </si>
  <si>
    <t>Population Variance</t>
  </si>
  <si>
    <t>Sample Variance</t>
  </si>
  <si>
    <t>Population Standard Deviation</t>
  </si>
  <si>
    <t>Sample Standard Deviation</t>
  </si>
  <si>
    <t>Q4) Find the variance and standard deviation. The costs per load (in cents) of 35 laundry detergents tested by a consumer organization are shown here.</t>
  </si>
  <si>
    <t>Class limits</t>
  </si>
  <si>
    <t>Frequency(f)</t>
  </si>
  <si>
    <t>Midpoint (x)</t>
  </si>
  <si>
    <t>13-19</t>
  </si>
  <si>
    <t>20-26</t>
  </si>
  <si>
    <t>27-33</t>
  </si>
  <si>
    <t>34-40</t>
  </si>
  <si>
    <t>41-47</t>
  </si>
  <si>
    <t>48-54</t>
  </si>
  <si>
    <t>55-61</t>
  </si>
  <si>
    <t>62-68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</si>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</sst>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vertical="top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9729-B375-4223-BEB8-3080309A53AA}">
  <dimension ref="A1:AF18"/>
  <sheetViews>
    <sheetView workbookViewId="0">
      <selection activeCell="I12" sqref="I12"/>
    </sheetView>
  </sheetViews>
  <sheetFormatPr defaultRowHeight="14.5" x14ac:dyDescent="0.35"/>
  <sheetData>
    <row r="1" spans="1:3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4" customFormat="1" x14ac:dyDescent="0.35"/>
    <row r="3" spans="1:32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32" x14ac:dyDescent="0.35">
      <c r="A4">
        <v>10</v>
      </c>
      <c r="B4">
        <v>2</v>
      </c>
      <c r="C4">
        <f>A4*B4</f>
        <v>20</v>
      </c>
      <c r="D4">
        <f>A4-$C$15</f>
        <v>-41.142857142857146</v>
      </c>
      <c r="E4">
        <f>D4^2</f>
        <v>1692.7346938775513</v>
      </c>
      <c r="F4">
        <f>B4*E4</f>
        <v>3385.4693877551026</v>
      </c>
    </row>
    <row r="5" spans="1:32" x14ac:dyDescent="0.35">
      <c r="A5">
        <v>20</v>
      </c>
      <c r="B5">
        <v>3</v>
      </c>
      <c r="C5">
        <f t="shared" ref="C5:C13" si="0">A5*B5</f>
        <v>60</v>
      </c>
      <c r="D5">
        <f t="shared" ref="D5:D13" si="1">A5-$C$15</f>
        <v>-31.142857142857146</v>
      </c>
      <c r="E5">
        <f t="shared" ref="E5:E13" si="2">D5^2</f>
        <v>969.8775510204083</v>
      </c>
      <c r="F5">
        <f t="shared" ref="F5:F13" si="3">B5*E5</f>
        <v>2909.632653061225</v>
      </c>
    </row>
    <row r="6" spans="1:32" x14ac:dyDescent="0.35">
      <c r="A6">
        <v>30</v>
      </c>
      <c r="B6">
        <v>5</v>
      </c>
      <c r="C6">
        <f t="shared" si="0"/>
        <v>150</v>
      </c>
      <c r="D6">
        <f t="shared" si="1"/>
        <v>-21.142857142857146</v>
      </c>
      <c r="E6">
        <f t="shared" si="2"/>
        <v>447.02040816326542</v>
      </c>
      <c r="F6">
        <f t="shared" si="3"/>
        <v>2235.1020408163272</v>
      </c>
    </row>
    <row r="7" spans="1:32" x14ac:dyDescent="0.35">
      <c r="A7">
        <v>40</v>
      </c>
      <c r="B7">
        <v>4</v>
      </c>
      <c r="C7">
        <f t="shared" si="0"/>
        <v>160</v>
      </c>
      <c r="D7">
        <f t="shared" si="1"/>
        <v>-11.142857142857146</v>
      </c>
      <c r="E7">
        <f t="shared" si="2"/>
        <v>124.16326530612251</v>
      </c>
      <c r="F7">
        <f t="shared" si="3"/>
        <v>496.65306122449005</v>
      </c>
    </row>
    <row r="8" spans="1:32" x14ac:dyDescent="0.35">
      <c r="A8">
        <v>50</v>
      </c>
      <c r="B8">
        <v>6</v>
      </c>
      <c r="C8">
        <f t="shared" si="0"/>
        <v>300</v>
      </c>
      <c r="D8">
        <f t="shared" si="1"/>
        <v>-1.1428571428571459</v>
      </c>
      <c r="E8">
        <f t="shared" si="2"/>
        <v>1.3061224489795988</v>
      </c>
      <c r="F8">
        <f t="shared" si="3"/>
        <v>7.8367346938775935</v>
      </c>
    </row>
    <row r="9" spans="1:32" x14ac:dyDescent="0.35">
      <c r="A9">
        <v>60</v>
      </c>
      <c r="B9">
        <v>5</v>
      </c>
      <c r="C9">
        <f t="shared" si="0"/>
        <v>300</v>
      </c>
      <c r="D9">
        <f t="shared" si="1"/>
        <v>8.8571428571428541</v>
      </c>
      <c r="E9">
        <f t="shared" si="2"/>
        <v>78.448979591836675</v>
      </c>
      <c r="F9">
        <f t="shared" si="3"/>
        <v>392.24489795918339</v>
      </c>
    </row>
    <row r="10" spans="1:32" x14ac:dyDescent="0.35">
      <c r="A10">
        <v>70</v>
      </c>
      <c r="B10">
        <v>4</v>
      </c>
      <c r="C10">
        <f t="shared" si="0"/>
        <v>280</v>
      </c>
      <c r="D10">
        <f t="shared" si="1"/>
        <v>18.857142857142854</v>
      </c>
      <c r="E10">
        <f t="shared" si="2"/>
        <v>355.59183673469374</v>
      </c>
      <c r="F10">
        <f t="shared" si="3"/>
        <v>1422.367346938775</v>
      </c>
    </row>
    <row r="11" spans="1:32" x14ac:dyDescent="0.35">
      <c r="A11">
        <v>80</v>
      </c>
      <c r="B11">
        <v>3</v>
      </c>
      <c r="C11">
        <f t="shared" si="0"/>
        <v>240</v>
      </c>
      <c r="D11">
        <f t="shared" si="1"/>
        <v>28.857142857142854</v>
      </c>
      <c r="E11">
        <f t="shared" si="2"/>
        <v>832.73469387755085</v>
      </c>
      <c r="F11">
        <f t="shared" si="3"/>
        <v>2498.2040816326526</v>
      </c>
    </row>
    <row r="12" spans="1:32" x14ac:dyDescent="0.35">
      <c r="A12">
        <v>90</v>
      </c>
      <c r="B12">
        <v>2</v>
      </c>
      <c r="C12">
        <f t="shared" si="0"/>
        <v>180</v>
      </c>
      <c r="D12">
        <f t="shared" si="1"/>
        <v>38.857142857142854</v>
      </c>
      <c r="E12">
        <f t="shared" si="2"/>
        <v>1509.877551020408</v>
      </c>
      <c r="F12">
        <f t="shared" si="3"/>
        <v>3019.7551020408159</v>
      </c>
    </row>
    <row r="13" spans="1:32" x14ac:dyDescent="0.35">
      <c r="A13">
        <v>100</v>
      </c>
      <c r="B13">
        <v>1</v>
      </c>
      <c r="C13">
        <f t="shared" si="0"/>
        <v>100</v>
      </c>
      <c r="D13">
        <f t="shared" si="1"/>
        <v>48.857142857142854</v>
      </c>
      <c r="E13">
        <f t="shared" si="2"/>
        <v>2387.0204081632651</v>
      </c>
      <c r="F13">
        <f t="shared" si="3"/>
        <v>2387.0204081632651</v>
      </c>
    </row>
    <row r="14" spans="1:32" x14ac:dyDescent="0.35">
      <c r="A14" s="3"/>
      <c r="B14" s="3">
        <f>SUM(B4:B13)</f>
        <v>35</v>
      </c>
      <c r="C14" s="3">
        <f>SUM(C4:C13)</f>
        <v>1790</v>
      </c>
      <c r="D14" s="3"/>
      <c r="E14" s="3"/>
      <c r="F14" s="3">
        <f>SUM(F4:F13)</f>
        <v>18754.28571428571</v>
      </c>
      <c r="G14" s="3"/>
    </row>
    <row r="15" spans="1:32" x14ac:dyDescent="0.35">
      <c r="C15" s="3">
        <f>C14/B14</f>
        <v>51.142857142857146</v>
      </c>
      <c r="F15" s="3">
        <f>F14/B14</f>
        <v>535.83673469387747</v>
      </c>
      <c r="G15" s="3" t="s">
        <v>7</v>
      </c>
      <c r="H15" s="3"/>
      <c r="I15" s="3"/>
    </row>
    <row r="16" spans="1:32" x14ac:dyDescent="0.35">
      <c r="F16" s="3">
        <f>F14/(B14-1)</f>
        <v>551.59663865546202</v>
      </c>
      <c r="G16" s="3" t="s">
        <v>8</v>
      </c>
      <c r="H16" s="3"/>
      <c r="I16" s="3"/>
    </row>
    <row r="17" spans="6:9" x14ac:dyDescent="0.35">
      <c r="F17" s="3">
        <f>SQRT(F15)</f>
        <v>23.148147543461821</v>
      </c>
      <c r="G17" s="3" t="s">
        <v>9</v>
      </c>
      <c r="H17" s="3"/>
      <c r="I17" s="3"/>
    </row>
    <row r="18" spans="6:9" x14ac:dyDescent="0.35">
      <c r="F18" s="3">
        <f>SQRT(F16)</f>
        <v>23.486094580739941</v>
      </c>
      <c r="G18" s="3" t="s">
        <v>10</v>
      </c>
      <c r="H18" s="3"/>
      <c r="I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0C00-FE77-4AC6-830B-18F5F4B5AD21}">
  <dimension ref="A1:L14"/>
  <sheetViews>
    <sheetView tabSelected="1" workbookViewId="0">
      <selection sqref="A1:P23"/>
    </sheetView>
  </sheetViews>
  <sheetFormatPr defaultRowHeight="14.5" x14ac:dyDescent="0.35"/>
  <sheetData>
    <row r="1" spans="1:12" x14ac:dyDescent="0.3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x14ac:dyDescent="0.35">
      <c r="A3" s="2" t="s">
        <v>12</v>
      </c>
      <c r="B3" s="2" t="s">
        <v>13</v>
      </c>
      <c r="C3" s="2" t="s">
        <v>14</v>
      </c>
      <c r="D3" s="2" t="s">
        <v>4</v>
      </c>
      <c r="E3" s="2" t="s">
        <v>5</v>
      </c>
      <c r="F3" s="2" t="s">
        <v>6</v>
      </c>
      <c r="G3" s="2" t="s">
        <v>3</v>
      </c>
    </row>
    <row r="4" spans="1:12" x14ac:dyDescent="0.35">
      <c r="A4" t="s">
        <v>15</v>
      </c>
      <c r="B4">
        <v>2</v>
      </c>
      <c r="C4">
        <v>16</v>
      </c>
      <c r="D4">
        <f>C4-$C$13</f>
        <v>-17.799999999999997</v>
      </c>
      <c r="E4">
        <f>D4^2</f>
        <v>316.83999999999992</v>
      </c>
      <c r="F4">
        <f>B4*E4</f>
        <v>633.67999999999984</v>
      </c>
      <c r="G4">
        <f>B4*C4</f>
        <v>32</v>
      </c>
    </row>
    <row r="5" spans="1:12" x14ac:dyDescent="0.35">
      <c r="A5" t="s">
        <v>16</v>
      </c>
      <c r="B5">
        <v>7</v>
      </c>
      <c r="C5">
        <v>23</v>
      </c>
      <c r="D5">
        <f t="shared" ref="D5:D11" si="0">C5-$C$13</f>
        <v>-10.799999999999997</v>
      </c>
      <c r="E5">
        <f t="shared" ref="E5:E11" si="1">D5^2</f>
        <v>116.63999999999994</v>
      </c>
      <c r="F5">
        <f t="shared" ref="F5:F11" si="2">B5*E5</f>
        <v>816.47999999999956</v>
      </c>
      <c r="G5">
        <f t="shared" ref="G5:G11" si="3">B5*C5</f>
        <v>161</v>
      </c>
    </row>
    <row r="6" spans="1:12" x14ac:dyDescent="0.35">
      <c r="A6" t="s">
        <v>17</v>
      </c>
      <c r="B6">
        <v>12</v>
      </c>
      <c r="C6">
        <v>30</v>
      </c>
      <c r="D6">
        <f t="shared" si="0"/>
        <v>-3.7999999999999972</v>
      </c>
      <c r="E6">
        <f t="shared" si="1"/>
        <v>14.439999999999978</v>
      </c>
      <c r="F6">
        <f t="shared" si="2"/>
        <v>173.27999999999975</v>
      </c>
      <c r="G6">
        <f t="shared" si="3"/>
        <v>360</v>
      </c>
    </row>
    <row r="7" spans="1:12" x14ac:dyDescent="0.35">
      <c r="A7" t="s">
        <v>18</v>
      </c>
      <c r="B7">
        <v>5</v>
      </c>
      <c r="C7">
        <v>37</v>
      </c>
      <c r="D7">
        <f t="shared" si="0"/>
        <v>3.2000000000000028</v>
      </c>
      <c r="E7">
        <f t="shared" si="1"/>
        <v>10.240000000000018</v>
      </c>
      <c r="F7">
        <f t="shared" si="2"/>
        <v>51.200000000000088</v>
      </c>
      <c r="G7">
        <f t="shared" si="3"/>
        <v>185</v>
      </c>
    </row>
    <row r="8" spans="1:12" x14ac:dyDescent="0.35">
      <c r="A8" t="s">
        <v>19</v>
      </c>
      <c r="B8">
        <v>6</v>
      </c>
      <c r="C8">
        <v>44</v>
      </c>
      <c r="D8">
        <f t="shared" si="0"/>
        <v>10.200000000000003</v>
      </c>
      <c r="E8">
        <f t="shared" si="1"/>
        <v>104.04000000000006</v>
      </c>
      <c r="F8">
        <f t="shared" si="2"/>
        <v>624.24000000000035</v>
      </c>
      <c r="G8">
        <f t="shared" si="3"/>
        <v>264</v>
      </c>
    </row>
    <row r="9" spans="1:12" x14ac:dyDescent="0.35">
      <c r="A9" t="s">
        <v>20</v>
      </c>
      <c r="B9">
        <v>1</v>
      </c>
      <c r="C9">
        <v>51</v>
      </c>
      <c r="D9">
        <f t="shared" si="0"/>
        <v>17.200000000000003</v>
      </c>
      <c r="E9">
        <f t="shared" si="1"/>
        <v>295.84000000000009</v>
      </c>
      <c r="F9">
        <f t="shared" si="2"/>
        <v>295.84000000000009</v>
      </c>
      <c r="G9">
        <f t="shared" si="3"/>
        <v>51</v>
      </c>
    </row>
    <row r="10" spans="1:12" x14ac:dyDescent="0.35">
      <c r="A10" t="s">
        <v>21</v>
      </c>
      <c r="B10">
        <v>0</v>
      </c>
      <c r="C10">
        <v>58</v>
      </c>
      <c r="D10">
        <f t="shared" si="0"/>
        <v>24.200000000000003</v>
      </c>
      <c r="E10">
        <f t="shared" si="1"/>
        <v>585.6400000000001</v>
      </c>
      <c r="F10">
        <f t="shared" si="2"/>
        <v>0</v>
      </c>
      <c r="G10">
        <f t="shared" si="3"/>
        <v>0</v>
      </c>
    </row>
    <row r="11" spans="1:12" x14ac:dyDescent="0.35">
      <c r="A11" t="s">
        <v>22</v>
      </c>
      <c r="B11">
        <v>2</v>
      </c>
      <c r="C11">
        <v>65</v>
      </c>
      <c r="D11">
        <f t="shared" si="0"/>
        <v>31.200000000000003</v>
      </c>
      <c r="E11">
        <f t="shared" si="1"/>
        <v>973.44000000000017</v>
      </c>
      <c r="F11">
        <f t="shared" si="2"/>
        <v>1946.8800000000003</v>
      </c>
      <c r="G11">
        <f t="shared" si="3"/>
        <v>130</v>
      </c>
    </row>
    <row r="12" spans="1:12" x14ac:dyDescent="0.35">
      <c r="A12" s="3"/>
      <c r="B12" s="3">
        <f>SUM(B4:B11)</f>
        <v>35</v>
      </c>
      <c r="C12" s="3"/>
      <c r="D12" s="3"/>
      <c r="E12" s="3"/>
      <c r="F12" s="3">
        <f>SUM(F4:F11)</f>
        <v>4541.6000000000004</v>
      </c>
      <c r="G12" s="3">
        <f>SUM(G4:G11)</f>
        <v>1183</v>
      </c>
    </row>
    <row r="13" spans="1:12" x14ac:dyDescent="0.35">
      <c r="C13" s="3">
        <f>G12/B12</f>
        <v>33.799999999999997</v>
      </c>
      <c r="F13" s="3">
        <f>F12/(B12-1)</f>
        <v>133.57647058823531</v>
      </c>
      <c r="G13" s="3" t="s">
        <v>8</v>
      </c>
      <c r="H13" s="3"/>
    </row>
    <row r="14" spans="1:12" x14ac:dyDescent="0.35">
      <c r="C14" s="5" t="s">
        <v>23</v>
      </c>
      <c r="F14" s="3">
        <f>SQRT(F13)</f>
        <v>11.557528740532524</v>
      </c>
      <c r="G14" s="3" t="s">
        <v>10</v>
      </c>
      <c r="H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GUPTA</dc:creator>
  <cp:lastModifiedBy>ARYA GUPTA</cp:lastModifiedBy>
  <dcterms:created xsi:type="dcterms:W3CDTF">2026-01-22T05:18:07Z</dcterms:created>
  <dcterms:modified xsi:type="dcterms:W3CDTF">2026-01-22T05:19:49Z</dcterms:modified>
</cp:coreProperties>
</file>