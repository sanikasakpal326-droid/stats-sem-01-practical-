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52" documentId="8_{FDCBFF7D-306D-4385-BE1E-6D9FFEC1F15D}" xr6:coauthVersionLast="47" xr6:coauthVersionMax="47" xr10:uidLastSave="{D72729C6-5583-4E0D-BEB9-3B58CF01EDED}"/>
  <bookViews>
    <workbookView xWindow="-110" yWindow="-110" windowWidth="19420" windowHeight="11020" xr2:uid="{5DC61B82-B90B-4D0A-BEFC-44C880121C20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G10" i="3" s="1"/>
  <c r="F9" i="3"/>
  <c r="E9" i="3"/>
  <c r="D9" i="3"/>
  <c r="C9" i="3"/>
  <c r="G9" i="3" s="1"/>
  <c r="F8" i="3"/>
  <c r="E8" i="3"/>
  <c r="D8" i="3"/>
  <c r="C8" i="3"/>
  <c r="G8" i="3" s="1"/>
  <c r="F7" i="3"/>
  <c r="E7" i="3"/>
  <c r="D7" i="3"/>
  <c r="C7" i="3"/>
  <c r="G7" i="3" s="1"/>
  <c r="H6" i="3"/>
  <c r="F6" i="3"/>
  <c r="E6" i="3"/>
  <c r="D6" i="3"/>
  <c r="C6" i="3"/>
  <c r="G6" i="3" s="1"/>
  <c r="G11" i="3" s="1"/>
  <c r="G9" i="2"/>
  <c r="F9" i="2"/>
  <c r="E9" i="2"/>
  <c r="D25" i="2"/>
  <c r="A25" i="2"/>
  <c r="E9" i="1"/>
  <c r="E6" i="1"/>
</calcChain>
</file>

<file path=xl/sharedStrings.xml><?xml version="1.0" encoding="utf-8"?>
<sst xmlns="http://schemas.openxmlformats.org/spreadsheetml/2006/main" count="66" uniqueCount="65">
  <si>
    <t>✅ Q3) Compute Covariance and Correlation in Excel using inbuilt formulas and interpret the results</t>
  </si>
  <si>
    <t>DATA</t>
  </si>
  <si>
    <t>Y(Marks)</t>
  </si>
  <si>
    <t xml:space="preserve">X (Study Hours)    </t>
  </si>
  <si>
    <t>=COVARIANCE.P(A6:A10,B6:B10)</t>
  </si>
  <si>
    <t>=CORREL(A6:A10,B6:B10)</t>
  </si>
  <si>
    <t>Using Excel built-in functions, covariance was calculated using COVARIANCE.P()</t>
  </si>
  <si>
    <t>and correlation was calculated using CORREL().</t>
  </si>
  <si>
    <t>The covariance value is positive, which indicates that study hours and marks</t>
  </si>
  <si>
    <t>increase together.</t>
  </si>
  <si>
    <t>The correlation coefficient is close to +1, showing a strong positive linear</t>
  </si>
  <si>
    <t>relationship between study hours and marks.</t>
  </si>
  <si>
    <t>ASSIGNMENT 5</t>
  </si>
  <si>
    <t>✅ Q4) Compute Covariance and Correlation in Excel WITHOUT using built-in functions and match with previous result</t>
  </si>
  <si>
    <t>x</t>
  </si>
  <si>
    <t>y</t>
  </si>
  <si>
    <t>X−X̄</t>
  </si>
  <si>
    <t>Y−Ȳ</t>
  </si>
  <si>
    <t>(X−X̄)(Y−Ȳ)</t>
  </si>
  <si>
    <t>(X−X̄)²</t>
  </si>
  <si>
    <t>(Y−Ȳ)²</t>
  </si>
  <si>
    <t>Cov(X,Y) = Σ(X−X̄)(Y−Ȳ) / n</t>
  </si>
  <si>
    <r>
      <t xml:space="preserve">Σ(X−X̄)(Y−Ȳ) = </t>
    </r>
    <r>
      <rPr>
        <b/>
        <sz val="11"/>
        <color theme="1"/>
        <rFont val="Aptos Narrow"/>
        <family val="2"/>
        <scheme val="minor"/>
      </rPr>
      <t>415</t>
    </r>
  </si>
  <si>
    <r>
      <t xml:space="preserve">n = </t>
    </r>
    <r>
      <rPr>
        <b/>
        <sz val="11"/>
        <color theme="1"/>
        <rFont val="Aptos Narrow"/>
        <family val="2"/>
        <scheme val="minor"/>
      </rPr>
      <t>5</t>
    </r>
  </si>
  <si>
    <t>Covariance (Manual)</t>
  </si>
  <si>
    <t>📌 Formula:</t>
  </si>
  <si>
    <t>415 / 5 = 83</t>
  </si>
  <si>
    <t>Calculate Mean of X and Y</t>
  </si>
  <si>
    <t>Mean of X</t>
  </si>
  <si>
    <t>=AVERAGE(A4:A8)</t>
  </si>
  <si>
    <t>Mean of Y</t>
  </si>
  <si>
    <t>=AVERAGE(B4:B8)</t>
  </si>
  <si>
    <t>Standard Deviations</t>
  </si>
  <si>
    <t>SD for X</t>
  </si>
  <si>
    <t xml:space="preserve">√(Σ(X−X̄)² / n) </t>
  </si>
  <si>
    <t xml:space="preserve"> √(250/5)</t>
  </si>
  <si>
    <t>SD for Y</t>
  </si>
  <si>
    <t>√(Σ(Y−Ȳ)² / n)</t>
  </si>
  <si>
    <t>= √50</t>
  </si>
  <si>
    <t>√(698/5)</t>
  </si>
  <si>
    <t>= √139.6</t>
  </si>
  <si>
    <t>Correlation (Manual)</t>
  </si>
  <si>
    <t>Correlation = Cov(X,Y) / (σx × σy)</t>
  </si>
  <si>
    <t>83 / (√50 × √139.6)</t>
  </si>
  <si>
    <t>≈ 0.99</t>
  </si>
  <si>
    <t>Covariance and correlation were computed manually without using Excel</t>
  </si>
  <si>
    <t>built-in functions.</t>
  </si>
  <si>
    <t>The covariance value is positive, showing that both variables increase together.</t>
  </si>
  <si>
    <t>The correlation coefficient is approximately 0.99, indicating a very strong</t>
  </si>
  <si>
    <t>positive linear relationship.</t>
  </si>
  <si>
    <t>The manually calculated results closely match the values obtained using</t>
  </si>
  <si>
    <t>Excel built-in functions.</t>
  </si>
  <si>
    <t>The covariance and correlation values obtained using the manual method</t>
  </si>
  <si>
    <t>closely match the values obtained using Excel built-in functions,</t>
  </si>
  <si>
    <t>confirming the correctness of the calculations.</t>
  </si>
  <si>
    <t>Q1) Present the formula for estimating Covariance and Correlation</t>
  </si>
  <si>
    <t>X</t>
  </si>
  <si>
    <t>Y</t>
  </si>
  <si>
    <t>x − x̄</t>
  </si>
  <si>
    <t>Mean X</t>
  </si>
  <si>
    <t>Mean Y</t>
  </si>
  <si>
    <t>y − ȳ</t>
  </si>
  <si>
    <t>(x − x̄)(y − ȳ)Product of deviations</t>
  </si>
  <si>
    <t>Correlation</t>
  </si>
  <si>
    <t>Sample 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</si>
</sst>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1" fillId="0" borderId="0" xfId="0" quotePrefix="1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3AF1-D579-4072-8D8B-DD14250088B1}">
  <dimension ref="A1:I12"/>
  <sheetViews>
    <sheetView tabSelected="1" workbookViewId="0">
      <selection activeCell="J15" sqref="J15"/>
    </sheetView>
  </sheetViews>
  <sheetFormatPr defaultRowHeight="14.5" x14ac:dyDescent="0.35"/>
  <sheetData>
    <row r="1" spans="1:9" ht="28.5" x14ac:dyDescent="0.65">
      <c r="A1" s="5" t="s">
        <v>12</v>
      </c>
    </row>
    <row r="3" spans="1:9" s="13" customFormat="1" x14ac:dyDescent="0.35">
      <c r="A3" s="13" t="s">
        <v>55</v>
      </c>
    </row>
    <row r="5" spans="1:9" x14ac:dyDescent="0.35">
      <c r="A5" s="11" t="s">
        <v>56</v>
      </c>
      <c r="B5" s="11" t="s">
        <v>57</v>
      </c>
      <c r="C5" s="11" t="s">
        <v>58</v>
      </c>
      <c r="D5" s="11" t="s">
        <v>59</v>
      </c>
      <c r="E5" s="11" t="s">
        <v>60</v>
      </c>
      <c r="F5" s="11" t="s">
        <v>61</v>
      </c>
      <c r="G5" s="11" t="s">
        <v>62</v>
      </c>
    </row>
    <row r="6" spans="1:9" x14ac:dyDescent="0.35">
      <c r="A6">
        <v>10</v>
      </c>
      <c r="B6">
        <v>12</v>
      </c>
      <c r="C6">
        <f>A6-$D$4</f>
        <v>10</v>
      </c>
      <c r="D6">
        <f>AVERAGE(A6:A10)</f>
        <v>30</v>
      </c>
      <c r="E6">
        <f>AVERAGE(B6:B10)</f>
        <v>27</v>
      </c>
      <c r="F6">
        <f>B6-$E$4</f>
        <v>12</v>
      </c>
      <c r="G6">
        <f>C6*F6</f>
        <v>120</v>
      </c>
      <c r="H6" s="12">
        <f>CORREL(A6:A10,B6:B10)</f>
        <v>0.99345998948942704</v>
      </c>
      <c r="I6" s="12" t="s">
        <v>63</v>
      </c>
    </row>
    <row r="7" spans="1:9" x14ac:dyDescent="0.35">
      <c r="A7">
        <v>20</v>
      </c>
      <c r="B7">
        <v>18</v>
      </c>
      <c r="C7">
        <f t="shared" ref="C7:C10" si="0">A7-$D$4</f>
        <v>20</v>
      </c>
      <c r="D7">
        <f t="shared" ref="D7:E10" si="1">AVERAGE(A7:A11)</f>
        <v>35</v>
      </c>
      <c r="E7">
        <f t="shared" si="1"/>
        <v>30.75</v>
      </c>
      <c r="F7">
        <f t="shared" ref="F7:F10" si="2">B7-$E$4</f>
        <v>18</v>
      </c>
      <c r="G7">
        <f t="shared" ref="G7:G10" si="3">C7*F7</f>
        <v>360</v>
      </c>
    </row>
    <row r="8" spans="1:9" x14ac:dyDescent="0.35">
      <c r="A8">
        <v>30</v>
      </c>
      <c r="B8">
        <v>25</v>
      </c>
      <c r="C8">
        <f t="shared" si="0"/>
        <v>30</v>
      </c>
      <c r="D8">
        <f t="shared" si="1"/>
        <v>40</v>
      </c>
      <c r="E8">
        <f t="shared" si="1"/>
        <v>35</v>
      </c>
      <c r="F8">
        <f t="shared" si="2"/>
        <v>25</v>
      </c>
      <c r="G8">
        <f t="shared" si="3"/>
        <v>750</v>
      </c>
    </row>
    <row r="9" spans="1:9" x14ac:dyDescent="0.35">
      <c r="A9">
        <v>40</v>
      </c>
      <c r="B9">
        <v>35</v>
      </c>
      <c r="C9">
        <f t="shared" si="0"/>
        <v>40</v>
      </c>
      <c r="D9">
        <f t="shared" si="1"/>
        <v>45</v>
      </c>
      <c r="E9">
        <f t="shared" si="1"/>
        <v>40</v>
      </c>
      <c r="F9">
        <f t="shared" si="2"/>
        <v>35</v>
      </c>
      <c r="G9">
        <f t="shared" si="3"/>
        <v>1400</v>
      </c>
    </row>
    <row r="10" spans="1:9" x14ac:dyDescent="0.35">
      <c r="A10">
        <v>50</v>
      </c>
      <c r="B10">
        <v>45</v>
      </c>
      <c r="C10">
        <f t="shared" si="0"/>
        <v>50</v>
      </c>
      <c r="D10">
        <f t="shared" si="1"/>
        <v>50</v>
      </c>
      <c r="E10">
        <f t="shared" si="1"/>
        <v>45</v>
      </c>
      <c r="F10">
        <f t="shared" si="2"/>
        <v>45</v>
      </c>
      <c r="G10">
        <f t="shared" si="3"/>
        <v>2250</v>
      </c>
    </row>
    <row r="11" spans="1:9" x14ac:dyDescent="0.35">
      <c r="G11" s="12">
        <f>SUM(G6:G10)/(COUNT(A6:A10)-1)</f>
        <v>1220</v>
      </c>
    </row>
    <row r="12" spans="1:9" x14ac:dyDescent="0.35">
      <c r="G12" s="1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0FC-401C-43AC-A0F1-80B3CA9034DD}">
  <dimension ref="A1:E20"/>
  <sheetViews>
    <sheetView workbookViewId="0">
      <selection activeCell="H6" sqref="H6"/>
    </sheetView>
  </sheetViews>
  <sheetFormatPr defaultRowHeight="14.5" x14ac:dyDescent="0.35"/>
  <cols>
    <col min="1" max="1" width="23.08984375" customWidth="1"/>
  </cols>
  <sheetData>
    <row r="1" spans="1:5" x14ac:dyDescent="0.35">
      <c r="A1" s="1" t="s">
        <v>0</v>
      </c>
    </row>
    <row r="3" spans="1:5" x14ac:dyDescent="0.35">
      <c r="A3" s="1" t="s">
        <v>1</v>
      </c>
    </row>
    <row r="5" spans="1:5" x14ac:dyDescent="0.35">
      <c r="A5" s="3" t="s">
        <v>3</v>
      </c>
      <c r="B5" s="3" t="s">
        <v>2</v>
      </c>
      <c r="C5" s="3"/>
      <c r="E5" s="4" t="s">
        <v>4</v>
      </c>
    </row>
    <row r="6" spans="1:5" x14ac:dyDescent="0.35">
      <c r="A6" s="3">
        <v>2</v>
      </c>
      <c r="B6" s="3">
        <v>40</v>
      </c>
      <c r="C6" s="3"/>
      <c r="E6">
        <f>_xlfn.COVARIANCE.P(A6:A10,B6:B10)</f>
        <v>40</v>
      </c>
    </row>
    <row r="7" spans="1:5" x14ac:dyDescent="0.35">
      <c r="A7" s="3">
        <v>4</v>
      </c>
      <c r="B7" s="3">
        <v>50</v>
      </c>
      <c r="C7" s="3"/>
    </row>
    <row r="8" spans="1:5" x14ac:dyDescent="0.35">
      <c r="A8" s="3">
        <v>6</v>
      </c>
      <c r="B8" s="3">
        <v>60</v>
      </c>
      <c r="C8" s="3"/>
      <c r="E8" s="4" t="s">
        <v>5</v>
      </c>
    </row>
    <row r="9" spans="1:5" x14ac:dyDescent="0.35">
      <c r="A9" s="3">
        <v>8</v>
      </c>
      <c r="B9" s="3">
        <v>70</v>
      </c>
      <c r="C9" s="3"/>
      <c r="E9">
        <f>CORREL(A6:A10,B6:B10)</f>
        <v>0.99999999999999978</v>
      </c>
    </row>
    <row r="10" spans="1:5" x14ac:dyDescent="0.35">
      <c r="A10" s="3">
        <v>10</v>
      </c>
      <c r="B10" s="3">
        <v>80</v>
      </c>
      <c r="C10" s="3"/>
    </row>
    <row r="11" spans="1:5" x14ac:dyDescent="0.35">
      <c r="A11" s="3"/>
    </row>
    <row r="13" spans="1:5" x14ac:dyDescent="0.35">
      <c r="A13" s="1" t="s">
        <v>6</v>
      </c>
    </row>
    <row r="14" spans="1:5" x14ac:dyDescent="0.35">
      <c r="A14" s="1" t="s">
        <v>7</v>
      </c>
    </row>
    <row r="15" spans="1:5" x14ac:dyDescent="0.35">
      <c r="A15" s="1"/>
    </row>
    <row r="16" spans="1:5" x14ac:dyDescent="0.35">
      <c r="A16" s="1" t="s">
        <v>8</v>
      </c>
    </row>
    <row r="17" spans="1:1" x14ac:dyDescent="0.35">
      <c r="A17" s="1" t="s">
        <v>9</v>
      </c>
    </row>
    <row r="18" spans="1:1" x14ac:dyDescent="0.35">
      <c r="A18" s="1"/>
    </row>
    <row r="19" spans="1:1" x14ac:dyDescent="0.35">
      <c r="A19" s="1" t="s">
        <v>10</v>
      </c>
    </row>
    <row r="20" spans="1:1" x14ac:dyDescent="0.35">
      <c r="A20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E47B-B4AC-4E5E-9061-47A4D75FE214}">
  <dimension ref="A1:P41"/>
  <sheetViews>
    <sheetView workbookViewId="0">
      <selection activeCell="K15" sqref="K15"/>
    </sheetView>
  </sheetViews>
  <sheetFormatPr defaultRowHeight="14.5" x14ac:dyDescent="0.35"/>
  <sheetData>
    <row r="1" spans="1:16" ht="16" x14ac:dyDescent="0.35">
      <c r="A1" s="7" t="s">
        <v>13</v>
      </c>
    </row>
    <row r="3" spans="1:16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16" x14ac:dyDescent="0.35">
      <c r="A4">
        <v>5</v>
      </c>
      <c r="B4">
        <v>45</v>
      </c>
      <c r="C4">
        <v>-10</v>
      </c>
      <c r="D4">
        <v>-18</v>
      </c>
      <c r="E4">
        <v>180</v>
      </c>
      <c r="F4">
        <v>100</v>
      </c>
      <c r="G4">
        <v>324</v>
      </c>
    </row>
    <row r="5" spans="1:16" x14ac:dyDescent="0.35">
      <c r="A5">
        <v>10</v>
      </c>
      <c r="B5">
        <v>55</v>
      </c>
      <c r="C5">
        <v>-5</v>
      </c>
      <c r="D5">
        <v>-8</v>
      </c>
      <c r="E5">
        <v>40</v>
      </c>
      <c r="F5">
        <v>25</v>
      </c>
      <c r="G5">
        <v>64</v>
      </c>
    </row>
    <row r="6" spans="1:16" x14ac:dyDescent="0.35">
      <c r="A6">
        <v>15</v>
      </c>
      <c r="B6">
        <v>65</v>
      </c>
      <c r="C6">
        <v>0</v>
      </c>
      <c r="D6">
        <v>2</v>
      </c>
      <c r="E6">
        <v>0</v>
      </c>
      <c r="F6">
        <v>0</v>
      </c>
      <c r="G6">
        <v>4</v>
      </c>
    </row>
    <row r="7" spans="1:16" x14ac:dyDescent="0.35">
      <c r="A7">
        <v>20</v>
      </c>
      <c r="B7">
        <v>72</v>
      </c>
      <c r="C7">
        <v>5</v>
      </c>
      <c r="D7">
        <v>9</v>
      </c>
      <c r="E7">
        <v>45</v>
      </c>
      <c r="F7">
        <v>25</v>
      </c>
      <c r="G7">
        <v>81</v>
      </c>
    </row>
    <row r="8" spans="1:16" x14ac:dyDescent="0.35">
      <c r="A8">
        <v>25</v>
      </c>
      <c r="B8">
        <v>78</v>
      </c>
      <c r="C8">
        <v>10</v>
      </c>
      <c r="D8">
        <v>15</v>
      </c>
      <c r="E8">
        <v>150</v>
      </c>
      <c r="F8">
        <v>100</v>
      </c>
      <c r="G8">
        <v>225</v>
      </c>
    </row>
    <row r="9" spans="1:16" x14ac:dyDescent="0.35">
      <c r="E9">
        <f>SUM(E4:E8)</f>
        <v>415</v>
      </c>
      <c r="F9">
        <f>SUM(F4:F8)</f>
        <v>250</v>
      </c>
      <c r="G9">
        <f>SUM(G4:G8)</f>
        <v>698</v>
      </c>
    </row>
    <row r="11" spans="1:16" ht="23.5" x14ac:dyDescent="0.55000000000000004">
      <c r="A11" s="6" t="s">
        <v>24</v>
      </c>
      <c r="H11" s="9" t="s">
        <v>32</v>
      </c>
      <c r="O11" s="6" t="s">
        <v>41</v>
      </c>
    </row>
    <row r="13" spans="1:16" x14ac:dyDescent="0.35">
      <c r="A13" t="s">
        <v>25</v>
      </c>
      <c r="H13" s="1" t="s">
        <v>33</v>
      </c>
      <c r="J13" s="1" t="s">
        <v>36</v>
      </c>
      <c r="O13" t="s">
        <v>25</v>
      </c>
    </row>
    <row r="14" spans="1:16" x14ac:dyDescent="0.35">
      <c r="A14" t="s">
        <v>21</v>
      </c>
      <c r="H14" t="s">
        <v>34</v>
      </c>
      <c r="J14" t="s">
        <v>37</v>
      </c>
      <c r="O14" t="s">
        <v>42</v>
      </c>
    </row>
    <row r="15" spans="1:16" x14ac:dyDescent="0.35">
      <c r="H15" t="s">
        <v>35</v>
      </c>
      <c r="J15" t="s">
        <v>39</v>
      </c>
      <c r="P15" t="s">
        <v>43</v>
      </c>
    </row>
    <row r="16" spans="1:16" x14ac:dyDescent="0.35">
      <c r="A16" t="s">
        <v>22</v>
      </c>
      <c r="H16" s="4" t="s">
        <v>38</v>
      </c>
      <c r="J16" s="4" t="s">
        <v>40</v>
      </c>
      <c r="P16" t="s">
        <v>44</v>
      </c>
    </row>
    <row r="17" spans="1:4" x14ac:dyDescent="0.35">
      <c r="A17" t="s">
        <v>23</v>
      </c>
    </row>
    <row r="19" spans="1:4" x14ac:dyDescent="0.35">
      <c r="A19" t="s">
        <v>26</v>
      </c>
    </row>
    <row r="21" spans="1:4" ht="23.5" x14ac:dyDescent="0.35">
      <c r="A21" s="6" t="s">
        <v>27</v>
      </c>
    </row>
    <row r="23" spans="1:4" ht="18.5" x14ac:dyDescent="0.45">
      <c r="A23" s="8" t="s">
        <v>28</v>
      </c>
      <c r="D23" s="2" t="s">
        <v>30</v>
      </c>
    </row>
    <row r="24" spans="1:4" x14ac:dyDescent="0.35">
      <c r="A24" s="4" t="s">
        <v>29</v>
      </c>
      <c r="D24" s="4" t="s">
        <v>31</v>
      </c>
    </row>
    <row r="25" spans="1:4" x14ac:dyDescent="0.35">
      <c r="A25">
        <f>AVERAGE(A4:A8)</f>
        <v>15</v>
      </c>
      <c r="D25">
        <f>AVERAGE(B4:B8)</f>
        <v>63</v>
      </c>
    </row>
    <row r="27" spans="1:4" x14ac:dyDescent="0.35">
      <c r="A27" s="1" t="s">
        <v>45</v>
      </c>
    </row>
    <row r="28" spans="1:4" x14ac:dyDescent="0.35">
      <c r="A28" s="1" t="s">
        <v>46</v>
      </c>
    </row>
    <row r="29" spans="1:4" x14ac:dyDescent="0.35">
      <c r="A29" s="1"/>
    </row>
    <row r="30" spans="1:4" x14ac:dyDescent="0.35">
      <c r="A30" s="1" t="s">
        <v>47</v>
      </c>
    </row>
    <row r="31" spans="1:4" x14ac:dyDescent="0.35">
      <c r="A31" s="1" t="s">
        <v>48</v>
      </c>
    </row>
    <row r="32" spans="1:4" x14ac:dyDescent="0.35">
      <c r="A32" s="1" t="s">
        <v>49</v>
      </c>
    </row>
    <row r="33" spans="1:1" x14ac:dyDescent="0.35">
      <c r="A33" s="1"/>
    </row>
    <row r="34" spans="1:1" x14ac:dyDescent="0.35">
      <c r="A34" s="1" t="s">
        <v>50</v>
      </c>
    </row>
    <row r="35" spans="1:1" x14ac:dyDescent="0.35">
      <c r="A35" s="1" t="s">
        <v>51</v>
      </c>
    </row>
    <row r="38" spans="1:1" ht="15.5" customHeight="1" x14ac:dyDescent="0.35">
      <c r="A38" s="10"/>
    </row>
    <row r="39" spans="1:1" x14ac:dyDescent="0.35">
      <c r="A39" t="s">
        <v>52</v>
      </c>
    </row>
    <row r="40" spans="1:1" x14ac:dyDescent="0.35">
      <c r="A40" s="1" t="s">
        <v>53</v>
      </c>
    </row>
    <row r="41" spans="1:1" x14ac:dyDescent="0.35">
      <c r="A4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2026-01-20T19:03:08Z</dcterms:created>
  <dcterms:modified xsi:type="dcterms:W3CDTF">2026-01-22T05:31:14Z</dcterms:modified>
</cp:coreProperties>
</file>